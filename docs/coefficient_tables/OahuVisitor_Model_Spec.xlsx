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Oahu_TDM\Estimation\VisitorModels\"/>
    </mc:Choice>
  </mc:AlternateContent>
  <xr:revisionPtr revIDLastSave="0" documentId="13_ncr:1_{7B6FE8A3-3663-471C-B5DB-1AC05401CAEA}" xr6:coauthVersionLast="47" xr6:coauthVersionMax="47" xr10:uidLastSave="{00000000-0000-0000-0000-000000000000}"/>
  <bookViews>
    <workbookView xWindow="-108" yWindow="-108" windowWidth="23256" windowHeight="13896" firstSheet="17" activeTab="21" xr2:uid="{9168E45C-201A-404B-9B17-1C7CE37F403F}"/>
  </bookViews>
  <sheets>
    <sheet name="Kids" sheetId="51" r:id="rId1"/>
    <sheet name="Marginals" sheetId="50" r:id="rId2"/>
    <sheet name="DC" sheetId="49" r:id="rId3"/>
    <sheet name="Rental Car" sheetId="48" r:id="rId4"/>
    <sheet name="WorkTourFreq" sheetId="20" r:id="rId5"/>
    <sheet name="RecTourFreq" sheetId="33" r:id="rId6"/>
    <sheet name="OtherTourFreq" sheetId="34" r:id="rId7"/>
    <sheet name="ShopTourFreq" sheetId="35" r:id="rId8"/>
    <sheet name="Work_DC" sheetId="22" r:id="rId9"/>
    <sheet name="Rec_DC" sheetId="36" r:id="rId10"/>
    <sheet name="Rec_DC_NewClassification" sheetId="52" r:id="rId11"/>
    <sheet name="Other_DC" sheetId="37" r:id="rId12"/>
    <sheet name="Shop_DC" sheetId="38" r:id="rId13"/>
    <sheet name="Work_MC" sheetId="39" r:id="rId14"/>
    <sheet name="Rec_MC" sheetId="40" r:id="rId15"/>
    <sheet name="Other_MC" sheetId="41" r:id="rId16"/>
    <sheet name="Shop_MC" sheetId="42" r:id="rId17"/>
    <sheet name="Work_TOD" sheetId="29" r:id="rId18"/>
    <sheet name="Rec_TOD" sheetId="43" r:id="rId19"/>
    <sheet name="Other_TOD" sheetId="46" r:id="rId20"/>
    <sheet name="Shop_TOD" sheetId="47" r:id="rId21"/>
    <sheet name="IS Frequency" sheetId="53" r:id="rId22"/>
    <sheet name="IS Purpose" sheetId="54" r:id="rId23"/>
    <sheet name="IS Duration" sheetId="5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55" l="1"/>
  <c r="AA14" i="55"/>
  <c r="C18" i="55"/>
  <c r="C11" i="54"/>
  <c r="C14" i="53"/>
</calcChain>
</file>

<file path=xl/sharedStrings.xml><?xml version="1.0" encoding="utf-8"?>
<sst xmlns="http://schemas.openxmlformats.org/spreadsheetml/2006/main" count="984" uniqueCount="293">
  <si>
    <t>Beta</t>
  </si>
  <si>
    <t>Coefficient</t>
  </si>
  <si>
    <t>t statistic</t>
  </si>
  <si>
    <t>X</t>
  </si>
  <si>
    <t>None</t>
  </si>
  <si>
    <t>One</t>
  </si>
  <si>
    <t>Two</t>
  </si>
  <si>
    <t>ASC_None</t>
  </si>
  <si>
    <t>ASC_One</t>
  </si>
  <si>
    <t>Variable</t>
  </si>
  <si>
    <t>Intra-zonal</t>
  </si>
  <si>
    <t>Rho^2</t>
  </si>
  <si>
    <t>t-Statistic</t>
  </si>
  <si>
    <t>Cluster</t>
  </si>
  <si>
    <t>Nest Coefficient</t>
  </si>
  <si>
    <t>Size coefficient</t>
  </si>
  <si>
    <t>ASCs</t>
  </si>
  <si>
    <t>EA-AM</t>
  </si>
  <si>
    <t>AM-AM</t>
  </si>
  <si>
    <t>AM-MD</t>
  </si>
  <si>
    <t>AM-PM</t>
  </si>
  <si>
    <t>AM-EV</t>
  </si>
  <si>
    <t>MD-MD</t>
  </si>
  <si>
    <t>MD-PM</t>
  </si>
  <si>
    <t>MD-EV</t>
  </si>
  <si>
    <t>MD-NT</t>
  </si>
  <si>
    <t>PM-PM</t>
  </si>
  <si>
    <t>PM-EV</t>
  </si>
  <si>
    <t>PM-NT</t>
  </si>
  <si>
    <t>EV-EV</t>
  </si>
  <si>
    <t>EV-NT</t>
  </si>
  <si>
    <t>NT-NT</t>
  </si>
  <si>
    <t>Sample size</t>
  </si>
  <si>
    <t>ASC t-statistics</t>
  </si>
  <si>
    <t>Work Tour Frequency</t>
  </si>
  <si>
    <t>Visitors from Japan</t>
  </si>
  <si>
    <t>Visitor party from Japan</t>
  </si>
  <si>
    <t>Single Visitor</t>
  </si>
  <si>
    <t>Big Group (Party Size &gt;= 5)</t>
  </si>
  <si>
    <t>High Income Group (Income &gt;= 60k)</t>
  </si>
  <si>
    <t>Visitor party with kids under 18</t>
  </si>
  <si>
    <t>Urban Center (VisitorDistrict = 5)</t>
  </si>
  <si>
    <t>Business purpose and make work tours</t>
  </si>
  <si>
    <t>Business purpose and don't make work tours</t>
  </si>
  <si>
    <t>Stay at Urban Center</t>
  </si>
  <si>
    <t>Stay at AirBnB</t>
  </si>
  <si>
    <t>Big Group (Party Size &gt;= 3 and &lt;= 6)</t>
  </si>
  <si>
    <t>Single Visitor (Party_Size = 1)</t>
  </si>
  <si>
    <t>Recreation Tour Frequency</t>
  </si>
  <si>
    <t>Other Tour Frequency</t>
  </si>
  <si>
    <t>Also make recreation tours</t>
  </si>
  <si>
    <t>Have kids in a major or minor resort</t>
  </si>
  <si>
    <t>RetailAndServiceEmploymentDensity/1000 @ Origin Zone</t>
  </si>
  <si>
    <t>Also make other tours</t>
  </si>
  <si>
    <t>Shop Tour Frequency</t>
  </si>
  <si>
    <t>Remaining Zones</t>
  </si>
  <si>
    <t>Time (PartySize = 1)</t>
  </si>
  <si>
    <t>Time (PartySize &gt;= 1)</t>
  </si>
  <si>
    <t>Intra Zonal</t>
  </si>
  <si>
    <t>Short Distance Zone (&lt;= 1 mile)</t>
  </si>
  <si>
    <t>Sample Size</t>
  </si>
  <si>
    <t>Diamond Head (4 zones)</t>
  </si>
  <si>
    <t>Ko Olina (3 zones)</t>
  </si>
  <si>
    <t>Beaches (15 zones)</t>
  </si>
  <si>
    <t>Ala Moana (3 zones)</t>
  </si>
  <si>
    <t>Waikiki Beach (1 zone)</t>
  </si>
  <si>
    <t>Constant (Waikiki Beach)</t>
  </si>
  <si>
    <t>Constant (Diamond Head)</t>
  </si>
  <si>
    <t>Constant (Ko Olina)</t>
  </si>
  <si>
    <t>Constant (Ala Moana)</t>
  </si>
  <si>
    <t>Constant (Beaches)</t>
  </si>
  <si>
    <t>Time to Waikiki Zone</t>
  </si>
  <si>
    <t>Time to DiamondHead Area</t>
  </si>
  <si>
    <t>Time to Ko Olina</t>
  </si>
  <si>
    <t>Time to Ala Moana</t>
  </si>
  <si>
    <t>Time to other beaches</t>
  </si>
  <si>
    <t>Size Terms</t>
  </si>
  <si>
    <t>Visitor Arrivals</t>
  </si>
  <si>
    <t>Emp_Hotel</t>
  </si>
  <si>
    <t>Emp_Services</t>
  </si>
  <si>
    <t>Size term: SizeCoeff * ln(1 + VisitorArrivals + 0.2952*Emp_Hotel + 0.1380*Emp_Services)</t>
  </si>
  <si>
    <t>Time</t>
  </si>
  <si>
    <t>RetailAndServiceEmploymentDensity/1000</t>
  </si>
  <si>
    <t>Emp_PublicAdmin</t>
  </si>
  <si>
    <t>Size term: SizeCoeff * ln(1 + Emp_Services + 0.2541*Emp_Hotel + 0.0271*Emp_PublicAdmin)</t>
  </si>
  <si>
    <t>Major resort area destination</t>
  </si>
  <si>
    <t>Time (PartySize &gt; 1)</t>
  </si>
  <si>
    <t>Walk Index @ Destination</t>
  </si>
  <si>
    <t>Emp_Retail</t>
  </si>
  <si>
    <t>Size term: SizeCoeff * ln(1 + Emp_Retail + 0.2441*Emp_Hotel + 0.4805*Emp_Services )</t>
  </si>
  <si>
    <t>sov</t>
  </si>
  <si>
    <t>hov2</t>
  </si>
  <si>
    <t>hov3</t>
  </si>
  <si>
    <t>tnc</t>
  </si>
  <si>
    <t>other</t>
  </si>
  <si>
    <t>transit</t>
  </si>
  <si>
    <t>walk</t>
  </si>
  <si>
    <t>ASC_sov</t>
  </si>
  <si>
    <t>ASC_hov2</t>
  </si>
  <si>
    <t>ASC_hov3</t>
  </si>
  <si>
    <t>ASC_other</t>
  </si>
  <si>
    <t>ASC_transit</t>
  </si>
  <si>
    <t>ASC_walk</t>
  </si>
  <si>
    <t>Auto Time</t>
  </si>
  <si>
    <t>Auto Time (TNC)</t>
  </si>
  <si>
    <t>Bus Total Time</t>
  </si>
  <si>
    <t>Walk Time</t>
  </si>
  <si>
    <t>Free parking spaces @ destination</t>
  </si>
  <si>
    <t>PartySize &gt; 1</t>
  </si>
  <si>
    <t>Party has rented car</t>
  </si>
  <si>
    <t>Waikiki Area destination</t>
  </si>
  <si>
    <t>Short Distance (Walk Distance &lt; 0.5 mi)</t>
  </si>
  <si>
    <t>Party has kids with rental car (hov)</t>
  </si>
  <si>
    <t>Party Size &lt; 3 (tnc)</t>
  </si>
  <si>
    <t>Party has rented car (tnc)</t>
  </si>
  <si>
    <t>Party Size &gt; 2 (hov3)</t>
  </si>
  <si>
    <t>Party has rented car (transit)</t>
  </si>
  <si>
    <t>Major Resort Destination</t>
  </si>
  <si>
    <t>Minor Resort Destination</t>
  </si>
  <si>
    <t>Waikiki Area Destination</t>
  </si>
  <si>
    <t>Intra Cluster (transit)</t>
  </si>
  <si>
    <t>Auto Time (Other)</t>
  </si>
  <si>
    <t>Other Tour Mode Choice</t>
  </si>
  <si>
    <t>Rec Tour Mode Choice</t>
  </si>
  <si>
    <t>Work Tour Mode Choice</t>
  </si>
  <si>
    <t>Shop Tour Mode Choice</t>
  </si>
  <si>
    <t>EA-PMandLater</t>
  </si>
  <si>
    <t>MD-EVandNT</t>
  </si>
  <si>
    <t>PM-PMandLater</t>
  </si>
  <si>
    <t>Single Person</t>
  </si>
  <si>
    <t>Work in major resort zone</t>
  </si>
  <si>
    <t>AM-PMandLater</t>
  </si>
  <si>
    <t>Short Distance (&lt; 0.5 mi)</t>
  </si>
  <si>
    <t>Also make work tour</t>
  </si>
  <si>
    <t>Stay at major resort</t>
  </si>
  <si>
    <t>Large Party (&gt;  4)</t>
  </si>
  <si>
    <t>Visitor Party from Japan</t>
  </si>
  <si>
    <t>Walk Mode (EV_EV)</t>
  </si>
  <si>
    <t>Walk Mode (NT_NT)</t>
  </si>
  <si>
    <t>Walk Mode (AM_AM)</t>
  </si>
  <si>
    <t>Short Distance AM_AM (&lt; 0.5 mi)</t>
  </si>
  <si>
    <t>EA-All</t>
  </si>
  <si>
    <t>AM-EVandNT</t>
  </si>
  <si>
    <t>Also make rec tours</t>
  </si>
  <si>
    <t>Also make rec tours (PM_EV)</t>
  </si>
  <si>
    <t>Make two or more work/rec tours</t>
  </si>
  <si>
    <t>Walk Mode (MD_MD)</t>
  </si>
  <si>
    <t>Visit Waikiki Area (PM_PM)</t>
  </si>
  <si>
    <t>Visit Waikiki Area (Later)</t>
  </si>
  <si>
    <t>Visit Beach</t>
  </si>
  <si>
    <t>Visit DiamondHead</t>
  </si>
  <si>
    <t>Recreation Tour Activity Start-Activity End TOD</t>
  </si>
  <si>
    <t>Other Tour Activity Start-Activity End TOD</t>
  </si>
  <si>
    <t>Shop Tour Activity Start-Activity End TOD</t>
  </si>
  <si>
    <t>Work Tour Activity Start-Activity End TOD</t>
  </si>
  <si>
    <t>Also make Other tour</t>
  </si>
  <si>
    <t>Also make Rec tours (PM_EV)</t>
  </si>
  <si>
    <t>Presence of kids (MD_EV)</t>
  </si>
  <si>
    <t>Presence of kids (NT_NT)</t>
  </si>
  <si>
    <t>Presence of  kids</t>
  </si>
  <si>
    <t>Presence of  kids (MD_EVandNT)</t>
  </si>
  <si>
    <t>Presence of  kids (NT_NT)</t>
  </si>
  <si>
    <t>Also make Rec tours (PM_PM)</t>
  </si>
  <si>
    <t>* Model estimated only on visitors with business purpose</t>
  </si>
  <si>
    <t>Urban Center</t>
  </si>
  <si>
    <t>Waikiki</t>
  </si>
  <si>
    <t>Intra-cluster (Urban Center)</t>
  </si>
  <si>
    <t>Constant (Waikiki)</t>
  </si>
  <si>
    <t>Constant (Urban Center)</t>
  </si>
  <si>
    <t>Size term: SizeCoefficient * ln(1 + Employment)</t>
  </si>
  <si>
    <t>Has Kids</t>
  </si>
  <si>
    <t>Visit Waikiki Area (MD_MD)</t>
  </si>
  <si>
    <t>Intra-cluster (Waikiki)</t>
  </si>
  <si>
    <t>t-statistic</t>
  </si>
  <si>
    <t>Alternatives</t>
  </si>
  <si>
    <t>No Rental Car</t>
  </si>
  <si>
    <t>Rental Car</t>
  </si>
  <si>
    <t>Constant</t>
  </si>
  <si>
    <t>Household income is $65,000+</t>
  </si>
  <si>
    <t>Group staying in Honolulu</t>
  </si>
  <si>
    <t>Group staying in Urban Center</t>
  </si>
  <si>
    <t>Group staying in EWA</t>
  </si>
  <si>
    <t>5 &lt;= Group Size &lt;= 7</t>
  </si>
  <si>
    <t>Group is from Japan</t>
  </si>
  <si>
    <t>Group is from USA</t>
  </si>
  <si>
    <t>Group has kids and staying at major resort</t>
  </si>
  <si>
    <t>Rho-squared</t>
  </si>
  <si>
    <t>Constant (Major Resort)</t>
  </si>
  <si>
    <t>Constant (Minor Resort)</t>
  </si>
  <si>
    <t>HH Income $100K+ staying at Major Resort</t>
  </si>
  <si>
    <t>Party Size &lt;= 2 staying at Other Zones</t>
  </si>
  <si>
    <t>HH with kid(s) staying at Major Resort</t>
  </si>
  <si>
    <t>Walk Index</t>
  </si>
  <si>
    <t>Party Size &gt;= 3 staying at Major Resort</t>
  </si>
  <si>
    <t>Attraction: Occupied HH</t>
  </si>
  <si>
    <t>Attraction: Hotel Rooms</t>
  </si>
  <si>
    <t>Attraction: Rental Condos</t>
  </si>
  <si>
    <t>Nest theta: Major Resort</t>
  </si>
  <si>
    <t>Nest theta: Minor Resort</t>
  </si>
  <si>
    <t>Nest theta: Other</t>
  </si>
  <si>
    <t>Size term: ln(1 + Hotel Rooms + exp(-6.2653)*Occupied HH + exp(-0.6525)*Rental Condos)</t>
  </si>
  <si>
    <t>Country</t>
  </si>
  <si>
    <t>Total</t>
  </si>
  <si>
    <t>Purpose</t>
  </si>
  <si>
    <t>Party Size</t>
  </si>
  <si>
    <t>USA</t>
  </si>
  <si>
    <t>Pleasure</t>
  </si>
  <si>
    <t>Japan</t>
  </si>
  <si>
    <t>Business</t>
  </si>
  <si>
    <t>Other</t>
  </si>
  <si>
    <t>5+</t>
  </si>
  <si>
    <t>No Kids</t>
  </si>
  <si>
    <t>Kids</t>
  </si>
  <si>
    <t>Household income is $60,000+</t>
  </si>
  <si>
    <t>Visit purpose is Vacation</t>
  </si>
  <si>
    <t>Group has 3+ people</t>
  </si>
  <si>
    <t>Note: Coeffs need to be exponentiated</t>
  </si>
  <si>
    <t>Time to other</t>
  </si>
  <si>
    <t>Waikiki Beach (3 zone)</t>
  </si>
  <si>
    <t>Diamond Head (5 zones)</t>
  </si>
  <si>
    <t>Ala Moana (4 zones)</t>
  </si>
  <si>
    <t>Beaches (26 zones)</t>
  </si>
  <si>
    <t>Size term: SizeCoeff * ln(1 + VisitorArrivals + 0.1466*Emp_Hotel + 2.9154*Emp_Services)</t>
  </si>
  <si>
    <t>Target share</t>
  </si>
  <si>
    <t>Model share</t>
  </si>
  <si>
    <t>Walk index &lt; 0.1</t>
  </si>
  <si>
    <t>Walk index &gt; 0.4</t>
  </si>
  <si>
    <t>Attraction density &gt; 5000</t>
  </si>
  <si>
    <t>Drive distance &gt;= 5 miles</t>
  </si>
  <si>
    <t>Constant (1-1)</t>
  </si>
  <si>
    <t>Constant (1-0)</t>
  </si>
  <si>
    <t>Constant (0-3)</t>
  </si>
  <si>
    <t>Constant (0-2)</t>
  </si>
  <si>
    <t>Constant (0-1)</t>
  </si>
  <si>
    <t>Constant (0-0)</t>
  </si>
  <si>
    <t>2-0</t>
  </si>
  <si>
    <t>1-1</t>
  </si>
  <si>
    <t>1-0</t>
  </si>
  <si>
    <t>0-3</t>
  </si>
  <si>
    <t>0-2</t>
  </si>
  <si>
    <t>0-1</t>
  </si>
  <si>
    <t>0-0</t>
  </si>
  <si>
    <t>Makes at least one Other tour</t>
  </si>
  <si>
    <t>Makes at least one Shop tour</t>
  </si>
  <si>
    <t>Makes at least one Rec tour</t>
  </si>
  <si>
    <t>Main tour is Shop</t>
  </si>
  <si>
    <t>Main tour is Rec</t>
  </si>
  <si>
    <t>Constant (Shop)</t>
  </si>
  <si>
    <t>Constant (Rec)</t>
  </si>
  <si>
    <t>Shop</t>
  </si>
  <si>
    <t>Rec</t>
  </si>
  <si>
    <t>Main tour activity is Shop</t>
  </si>
  <si>
    <t>Main activity is less than 120 minutes</t>
  </si>
  <si>
    <t>Makes 1 stop</t>
  </si>
  <si>
    <t>Makes 3 or more stops</t>
  </si>
  <si>
    <t>Main tour activity is Other</t>
  </si>
  <si>
    <t>Makes 1 tour</t>
  </si>
  <si>
    <t>Makes 2 tours</t>
  </si>
  <si>
    <t>Main activity is 250 minutes or longer</t>
  </si>
  <si>
    <t>Makes 3 or more tours</t>
  </si>
  <si>
    <t>Constant (135-180)</t>
  </si>
  <si>
    <t>Constant (120-150)</t>
  </si>
  <si>
    <t>Constant (105-135)</t>
  </si>
  <si>
    <t>Constant (90-120)</t>
  </si>
  <si>
    <t>Constant (90-135)</t>
  </si>
  <si>
    <t>Constant (75-105)</t>
  </si>
  <si>
    <t>Constant (45-90)</t>
  </si>
  <si>
    <t>Constant (60-90)</t>
  </si>
  <si>
    <t>Constant (60-75)</t>
  </si>
  <si>
    <t>Constant (30-45)</t>
  </si>
  <si>
    <t>Constant (45-60)</t>
  </si>
  <si>
    <t>Constant (15-30)</t>
  </si>
  <si>
    <t>Constant (15-45)</t>
  </si>
  <si>
    <t>Constant (0-15)</t>
  </si>
  <si>
    <t>Constant (0-30)</t>
  </si>
  <si>
    <t>150-200</t>
  </si>
  <si>
    <t>120-150</t>
  </si>
  <si>
    <t>90-120</t>
  </si>
  <si>
    <t>45-90</t>
  </si>
  <si>
    <t>30-45</t>
  </si>
  <si>
    <t>15-30</t>
  </si>
  <si>
    <t>0-15</t>
  </si>
  <si>
    <t>135-200</t>
  </si>
  <si>
    <t>90-135</t>
  </si>
  <si>
    <t>60-90</t>
  </si>
  <si>
    <t>45-60</t>
  </si>
  <si>
    <t>15-45</t>
  </si>
  <si>
    <t>180-250</t>
  </si>
  <si>
    <t>135-180</t>
  </si>
  <si>
    <t>105-135</t>
  </si>
  <si>
    <t>75-105</t>
  </si>
  <si>
    <t>60-75</t>
  </si>
  <si>
    <t>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</si>
</sst>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5" borderId="10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0" fontId="1" fillId="0" borderId="12" xfId="0" applyFont="1" applyBorder="1"/>
    <xf numFmtId="0" fontId="1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1" fillId="6" borderId="1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6" borderId="17" xfId="0" applyFont="1" applyFill="1" applyBorder="1"/>
    <xf numFmtId="0" fontId="1" fillId="7" borderId="3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0" fillId="6" borderId="6" xfId="0" applyFill="1" applyBorder="1"/>
    <xf numFmtId="164" fontId="0" fillId="7" borderId="10" xfId="0" applyNumberFormat="1" applyFill="1" applyBorder="1" applyAlignment="1">
      <alignment horizontal="center"/>
    </xf>
    <xf numFmtId="2" fontId="0" fillId="8" borderId="15" xfId="0" applyNumberFormat="1" applyFill="1" applyBorder="1" applyAlignment="1">
      <alignment horizontal="center"/>
    </xf>
    <xf numFmtId="165" fontId="0" fillId="7" borderId="10" xfId="0" applyNumberForma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7" xfId="0" applyFill="1" applyBorder="1"/>
    <xf numFmtId="164" fontId="0" fillId="7" borderId="11" xfId="0" applyNumberFormat="1" applyFill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165" fontId="0" fillId="7" borderId="11" xfId="0" applyNumberFormat="1" applyFill="1" applyBorder="1" applyAlignment="1">
      <alignment horizontal="center"/>
    </xf>
    <xf numFmtId="2" fontId="0" fillId="8" borderId="19" xfId="0" applyNumberFormat="1" applyFill="1" applyBorder="1" applyAlignment="1">
      <alignment horizontal="center"/>
    </xf>
    <xf numFmtId="0" fontId="1" fillId="0" borderId="8" xfId="0" applyFont="1" applyBorder="1"/>
    <xf numFmtId="0" fontId="0" fillId="6" borderId="0" xfId="0" applyFill="1"/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6" xfId="0" applyFont="1" applyBorder="1"/>
    <xf numFmtId="0" fontId="0" fillId="3" borderId="6" xfId="0" applyFill="1" applyBorder="1"/>
    <xf numFmtId="0" fontId="0" fillId="3" borderId="20" xfId="0" applyFill="1" applyBorder="1"/>
    <xf numFmtId="0" fontId="0" fillId="3" borderId="8" xfId="0" applyFill="1" applyBorder="1"/>
    <xf numFmtId="0" fontId="0" fillId="3" borderId="24" xfId="0" applyFill="1" applyBorder="1"/>
    <xf numFmtId="164" fontId="0" fillId="0" borderId="1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9" borderId="11" xfId="0" applyFill="1" applyBorder="1"/>
    <xf numFmtId="164" fontId="0" fillId="9" borderId="11" xfId="0" applyNumberFormat="1" applyFill="1" applyBorder="1" applyAlignment="1">
      <alignment horizontal="center"/>
    </xf>
    <xf numFmtId="0" fontId="0" fillId="9" borderId="10" xfId="0" applyFill="1" applyBorder="1"/>
    <xf numFmtId="164" fontId="0" fillId="9" borderId="10" xfId="0" applyNumberFormat="1" applyFill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0" fontId="1" fillId="10" borderId="12" xfId="0" applyFont="1" applyFill="1" applyBorder="1"/>
    <xf numFmtId="0" fontId="0" fillId="9" borderId="4" xfId="0" applyFill="1" applyBorder="1"/>
    <xf numFmtId="0" fontId="0" fillId="7" borderId="10" xfId="0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0" fontId="1" fillId="3" borderId="8" xfId="0" applyFont="1" applyFill="1" applyBorder="1"/>
    <xf numFmtId="0" fontId="1" fillId="7" borderId="8" xfId="0" applyFont="1" applyFill="1" applyBorder="1"/>
    <xf numFmtId="0" fontId="0" fillId="6" borderId="8" xfId="0" applyFill="1" applyBorder="1"/>
    <xf numFmtId="0" fontId="0" fillId="11" borderId="0" xfId="0" applyFill="1"/>
    <xf numFmtId="0" fontId="0" fillId="9" borderId="20" xfId="0" applyFill="1" applyBorder="1"/>
    <xf numFmtId="0" fontId="0" fillId="9" borderId="6" xfId="0" applyFill="1" applyBorder="1"/>
    <xf numFmtId="0" fontId="0" fillId="9" borderId="7" xfId="0" applyFill="1" applyBorder="1"/>
    <xf numFmtId="0" fontId="1" fillId="10" borderId="8" xfId="0" applyFont="1" applyFill="1" applyBorder="1"/>
    <xf numFmtId="11" fontId="0" fillId="9" borderId="10" xfId="0" applyNumberForma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/>
    <xf numFmtId="0" fontId="0" fillId="0" borderId="6" xfId="0" applyBorder="1"/>
    <xf numFmtId="0" fontId="0" fillId="0" borderId="7" xfId="0" applyBorder="1"/>
    <xf numFmtId="0" fontId="0" fillId="0" borderId="22" xfId="0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2" fontId="0" fillId="8" borderId="9" xfId="0" applyNumberFormat="1" applyFill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0" fontId="1" fillId="6" borderId="6" xfId="0" applyFont="1" applyFill="1" applyBorder="1"/>
    <xf numFmtId="164" fontId="0" fillId="7" borderId="4" xfId="0" applyNumberFormat="1" applyFill="1" applyBorder="1" applyAlignment="1">
      <alignment horizontal="center"/>
    </xf>
    <xf numFmtId="0" fontId="1" fillId="14" borderId="20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0" borderId="0" xfId="0" applyFont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7" xfId="0" applyFill="1" applyBorder="1" applyAlignment="1">
      <alignment horizontal="center"/>
    </xf>
    <xf numFmtId="3" fontId="0" fillId="3" borderId="19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7" borderId="20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1" fillId="12" borderId="4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1" fillId="9" borderId="4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9" borderId="10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0" fillId="0" borderId="0" xfId="0"/>
    <xf numFmtId="0" fontId="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" fillId="9" borderId="20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1" fontId="1" fillId="0" borderId="23" xfId="0" applyNumberFormat="1" applyFont="1" applyBorder="1" applyAlignment="1">
      <alignment horizontal="center" vertical="center"/>
    </xf>
    <xf numFmtId="0" fontId="0" fillId="0" borderId="21" xfId="0" applyBorder="1"/>
    <xf numFmtId="0" fontId="1" fillId="3" borderId="2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/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/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38" xfId="0" applyBorder="1"/>
    <xf numFmtId="49" fontId="1" fillId="0" borderId="1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7</xdr:row>
      <xdr:rowOff>85725</xdr:rowOff>
    </xdr:from>
    <xdr:to>
      <xdr:col>11</xdr:col>
      <xdr:colOff>219075</xdr:colOff>
      <xdr:row>30</xdr:row>
      <xdr:rowOff>81930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5B635-4288-81F0-1DAF-52EBB6219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1438275"/>
          <a:ext cx="5591175" cy="4377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</xdr:colOff>
      <xdr:row>13</xdr:row>
      <xdr:rowOff>7024</xdr:rowOff>
    </xdr:from>
    <xdr:to>
      <xdr:col>11</xdr:col>
      <xdr:colOff>154941</xdr:colOff>
      <xdr:row>35</xdr:row>
      <xdr:rowOff>164783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042616-849A-1184-D9DC-64696D8E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9815" y="2399704"/>
          <a:ext cx="5940426" cy="4196359"/>
        </a:xfrm>
        <a:prstGeom prst="rect">
          <a:avLst/>
        </a:prstGeom>
      </xdr:spPr>
    </xdr:pic>
    <xdr:clientData/>
  </xdr:twoCellAnchor>
  <xdr:twoCellAnchor editAs="oneCell">
    <xdr:from>
      <xdr:col>9</xdr:col>
      <xdr:colOff>21726</xdr:colOff>
      <xdr:row>5</xdr:row>
      <xdr:rowOff>57151</xdr:rowOff>
    </xdr:from>
    <xdr:to>
      <xdr:col>21</xdr:col>
      <xdr:colOff>65321</xdr:colOff>
      <xdr:row>21</xdr:row>
      <xdr:rowOff>12701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2CD148-8172-58E6-C788-E668D9A58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3876" y="1028701"/>
          <a:ext cx="7358795" cy="3028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121285</xdr:colOff>
      <xdr:row>14</xdr:row>
      <xdr:rowOff>32424</xdr:rowOff>
    </xdr:from>
    <xdr:to>
      <xdr:col>11</xdr:col>
      <xdr:colOff>148591</xdr:colOff>
      <xdr:row>36</xdr:row>
      <xdr:rowOff>182563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6485C-2522-4CD0-8FC8-AB7DF2DB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8685" y="2534324"/>
          <a:ext cx="5837556" cy="4374159"/>
        </a:xfrm>
        <a:prstGeom prst="rect">
          <a:avLst/>
        </a:prstGeom>
      </xdr:spPr>
    </xdr:pic>
    <xdr:clientData/>
  </xdr:twoCellAnchor>
  <xdr:twoCellAnchor editAs="oneCell">
    <xdr:from>
      <xdr:col>9</xdr:col>
      <xdr:colOff>21726</xdr:colOff>
      <xdr:row>5</xdr:row>
      <xdr:rowOff>57151</xdr:rowOff>
    </xdr:from>
    <xdr:to>
      <xdr:col>21</xdr:col>
      <xdr:colOff>65321</xdr:colOff>
      <xdr:row>21</xdr:row>
      <xdr:rowOff>12701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6132C-289B-4687-9663-53CD03E0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80176" y="1028701"/>
          <a:ext cx="7358795" cy="302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CCDD-BAF3-48A4-A9F2-A585B9D84EAC}">
  <dimension ref="B2:F9"/>
  <sheetViews>
    <sheetView workbookViewId="0">
      <selection activeCell="C12" sqref="C12"/>
    </sheetView>
  </sheetViews>
  <sheetFormatPr defaultRowHeight="14.4" x14ac:dyDescent="0.3"/>
  <cols>
    <col min="2" max="2" width="38.33203125" customWidth="1"/>
    <col min="3" max="3" width="14.88671875" customWidth="1"/>
    <col min="4" max="4" width="11" customWidth="1"/>
    <col min="5" max="5" width="14.33203125" customWidth="1"/>
    <col min="6" max="6" width="16.5546875" customWidth="1"/>
  </cols>
  <sheetData>
    <row r="2" spans="2:6" x14ac:dyDescent="0.3">
      <c r="B2" s="98" t="s">
        <v>9</v>
      </c>
      <c r="C2" s="100" t="s">
        <v>1</v>
      </c>
      <c r="D2" s="102" t="s">
        <v>173</v>
      </c>
      <c r="E2" s="96" t="s">
        <v>174</v>
      </c>
      <c r="F2" s="97"/>
    </row>
    <row r="3" spans="2:6" ht="15" thickBot="1" x14ac:dyDescent="0.35">
      <c r="B3" s="99"/>
      <c r="C3" s="101"/>
      <c r="D3" s="103"/>
      <c r="E3" s="70" t="s">
        <v>211</v>
      </c>
      <c r="F3" s="64" t="s">
        <v>212</v>
      </c>
    </row>
    <row r="4" spans="2:6" ht="15" thickTop="1" x14ac:dyDescent="0.3">
      <c r="B4" s="66" t="s">
        <v>177</v>
      </c>
      <c r="C4" s="33">
        <v>-4.1273</v>
      </c>
      <c r="D4" s="72">
        <v>-21.55</v>
      </c>
      <c r="E4" s="69"/>
      <c r="F4" s="65" t="s">
        <v>3</v>
      </c>
    </row>
    <row r="5" spans="2:6" x14ac:dyDescent="0.3">
      <c r="B5" s="67" t="s">
        <v>213</v>
      </c>
      <c r="C5" s="71">
        <v>0.5353</v>
      </c>
      <c r="D5" s="73">
        <v>4.0199999999999996</v>
      </c>
      <c r="E5" s="1"/>
      <c r="F5" s="32" t="s">
        <v>3</v>
      </c>
    </row>
    <row r="6" spans="2:6" x14ac:dyDescent="0.3">
      <c r="B6" s="67" t="s">
        <v>214</v>
      </c>
      <c r="C6" s="71">
        <v>0.53920000000000001</v>
      </c>
      <c r="D6" s="73">
        <v>4.34</v>
      </c>
      <c r="E6" s="1"/>
      <c r="F6" s="32" t="s">
        <v>3</v>
      </c>
    </row>
    <row r="7" spans="2:6" x14ac:dyDescent="0.3">
      <c r="B7" s="68" t="s">
        <v>215</v>
      </c>
      <c r="C7" s="34">
        <v>3.8805999999999998</v>
      </c>
      <c r="D7" s="74">
        <v>27.14</v>
      </c>
      <c r="E7" s="2"/>
      <c r="F7" s="31" t="s">
        <v>3</v>
      </c>
    </row>
    <row r="8" spans="2:6" x14ac:dyDescent="0.3">
      <c r="B8" s="29" t="s">
        <v>32</v>
      </c>
      <c r="C8" s="104">
        <v>3133</v>
      </c>
      <c r="D8" s="105"/>
      <c r="E8" s="75">
        <v>2198</v>
      </c>
      <c r="F8" s="76">
        <v>935</v>
      </c>
    </row>
    <row r="9" spans="2:6" x14ac:dyDescent="0.3">
      <c r="B9" s="29" t="s">
        <v>186</v>
      </c>
      <c r="C9" s="95">
        <v>0.48199999999999998</v>
      </c>
      <c r="D9" s="95"/>
      <c r="E9" s="95"/>
      <c r="F9" s="95"/>
    </row>
  </sheetData>
  <mergeCells count="6">
    <mergeCell ref="C9:F9"/>
    <mergeCell ref="E2:F2"/>
    <mergeCell ref="B2:B3"/>
    <mergeCell ref="C2:C3"/>
    <mergeCell ref="D2:D3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18A6-8D60-4624-8D06-DE415D7097E2}">
  <dimension ref="B2:I7"/>
  <sheetViews>
    <sheetView topLeftCell="A3" workbookViewId="0">
      <selection activeCell="O22" sqref="O22"/>
    </sheetView>
  </sheetViews>
  <sheetFormatPr defaultRowHeight="14.4" x14ac:dyDescent="0.3"/>
  <cols>
    <col min="2" max="2" width="38.33203125" customWidth="1"/>
    <col min="3" max="3" width="14.88671875" customWidth="1"/>
    <col min="4" max="4" width="11.44140625" customWidth="1"/>
    <col min="5" max="5" width="14.33203125" customWidth="1"/>
    <col min="6" max="6" width="16.5546875" customWidth="1"/>
  </cols>
  <sheetData>
    <row r="2" spans="2:9" ht="15" thickBot="1" x14ac:dyDescent="0.35">
      <c r="B2" s="89" t="s">
        <v>201</v>
      </c>
      <c r="C2" s="90" t="s">
        <v>202</v>
      </c>
      <c r="D2" s="88"/>
      <c r="E2" s="89" t="s">
        <v>203</v>
      </c>
      <c r="F2" s="90" t="s">
        <v>202</v>
      </c>
      <c r="G2" s="88"/>
      <c r="H2" s="89" t="s">
        <v>204</v>
      </c>
      <c r="I2" s="90" t="s">
        <v>202</v>
      </c>
    </row>
    <row r="3" spans="2:9" ht="15" thickTop="1" x14ac:dyDescent="0.3">
      <c r="B3" s="91" t="s">
        <v>205</v>
      </c>
      <c r="C3" s="92">
        <v>92080.815134999997</v>
      </c>
      <c r="E3" s="91" t="s">
        <v>206</v>
      </c>
      <c r="F3" s="92">
        <v>125398.616088</v>
      </c>
      <c r="H3" s="91">
        <v>1</v>
      </c>
      <c r="I3" s="92">
        <v>30472.909216</v>
      </c>
    </row>
    <row r="4" spans="2:9" x14ac:dyDescent="0.3">
      <c r="B4" s="91" t="s">
        <v>207</v>
      </c>
      <c r="C4" s="92">
        <v>13378.554505</v>
      </c>
      <c r="E4" s="93" t="s">
        <v>208</v>
      </c>
      <c r="F4" s="94">
        <v>5500.3839120000002</v>
      </c>
      <c r="H4" s="91">
        <v>2</v>
      </c>
      <c r="I4" s="92">
        <v>46131.558613000001</v>
      </c>
    </row>
    <row r="5" spans="2:9" x14ac:dyDescent="0.3">
      <c r="B5" s="93" t="s">
        <v>209</v>
      </c>
      <c r="C5" s="94">
        <v>25439.630359999999</v>
      </c>
      <c r="H5" s="91">
        <v>3</v>
      </c>
      <c r="I5" s="92">
        <v>19240.768318999999</v>
      </c>
    </row>
    <row r="6" spans="2:9" x14ac:dyDescent="0.3">
      <c r="H6" s="91">
        <v>4</v>
      </c>
      <c r="I6" s="92">
        <v>18318.754841999998</v>
      </c>
    </row>
    <row r="7" spans="2:9" x14ac:dyDescent="0.3">
      <c r="H7" s="93" t="s">
        <v>210</v>
      </c>
      <c r="I7" s="94">
        <v>16735.009010000002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65D3-23C4-409A-97D8-ADADFD1B9742}">
  <dimension ref="B2:D20"/>
  <sheetViews>
    <sheetView workbookViewId="0">
      <selection activeCell="C3" sqref="C3:C4"/>
    </sheetView>
  </sheetViews>
  <sheetFormatPr defaultRowHeight="14.4" x14ac:dyDescent="0.3"/>
  <cols>
    <col min="2" max="2" width="38.33203125" customWidth="1"/>
    <col min="3" max="3" width="14.88671875" customWidth="1"/>
    <col min="4" max="4" width="11.44140625" customWidth="1"/>
    <col min="5" max="5" width="14.33203125" customWidth="1"/>
    <col min="6" max="6" width="16.5546875" customWidth="1"/>
  </cols>
  <sheetData>
    <row r="2" spans="2:4" ht="15" thickBot="1" x14ac:dyDescent="0.35">
      <c r="B2" s="85" t="s">
        <v>9</v>
      </c>
      <c r="C2" s="86" t="s">
        <v>1</v>
      </c>
      <c r="D2" s="87" t="s">
        <v>12</v>
      </c>
    </row>
    <row r="3" spans="2:4" ht="15" thickTop="1" x14ac:dyDescent="0.3">
      <c r="B3" s="19" t="s">
        <v>187</v>
      </c>
      <c r="C3" s="77">
        <v>2.4925000000000002</v>
      </c>
      <c r="D3" s="78">
        <v>7.3</v>
      </c>
    </row>
    <row r="4" spans="2:4" x14ac:dyDescent="0.3">
      <c r="B4" s="24" t="s">
        <v>188</v>
      </c>
      <c r="C4" s="25">
        <v>1.5518000000000001</v>
      </c>
      <c r="D4" s="80">
        <v>3.01</v>
      </c>
    </row>
    <row r="5" spans="2:4" x14ac:dyDescent="0.3">
      <c r="B5" s="19" t="s">
        <v>189</v>
      </c>
      <c r="C5" s="20">
        <v>0.20130000000000001</v>
      </c>
      <c r="D5" s="79">
        <v>2.69</v>
      </c>
    </row>
    <row r="6" spans="2:4" x14ac:dyDescent="0.3">
      <c r="B6" s="19" t="s">
        <v>190</v>
      </c>
      <c r="C6" s="20">
        <v>0.59250000000000003</v>
      </c>
      <c r="D6" s="79">
        <v>5.43</v>
      </c>
    </row>
    <row r="7" spans="2:4" x14ac:dyDescent="0.3">
      <c r="B7" s="19" t="s">
        <v>191</v>
      </c>
      <c r="C7" s="20">
        <v>0.1895</v>
      </c>
      <c r="D7" s="79">
        <v>1.77</v>
      </c>
    </row>
    <row r="8" spans="2:4" x14ac:dyDescent="0.3">
      <c r="B8" s="19" t="s">
        <v>192</v>
      </c>
      <c r="C8" s="20">
        <v>0.1028</v>
      </c>
      <c r="D8" s="79">
        <v>1.23</v>
      </c>
    </row>
    <row r="9" spans="2:4" x14ac:dyDescent="0.3">
      <c r="B9" s="24" t="s">
        <v>193</v>
      </c>
      <c r="C9" s="25">
        <v>1.6299999999999999E-2</v>
      </c>
      <c r="D9" s="80">
        <v>0.15</v>
      </c>
    </row>
    <row r="10" spans="2:4" x14ac:dyDescent="0.3">
      <c r="B10" s="19" t="s">
        <v>15</v>
      </c>
      <c r="C10" s="20">
        <v>0.52559999999999996</v>
      </c>
      <c r="D10" s="81">
        <v>-7.58</v>
      </c>
    </row>
    <row r="11" spans="2:4" x14ac:dyDescent="0.3">
      <c r="B11" s="19" t="s">
        <v>194</v>
      </c>
      <c r="C11" s="20">
        <v>-6.2652999999999999</v>
      </c>
      <c r="D11" s="81">
        <v>-14.5</v>
      </c>
    </row>
    <row r="12" spans="2:4" x14ac:dyDescent="0.3">
      <c r="B12" s="19" t="s">
        <v>195</v>
      </c>
      <c r="C12" s="20">
        <v>0</v>
      </c>
      <c r="D12" s="81"/>
    </row>
    <row r="13" spans="2:4" x14ac:dyDescent="0.3">
      <c r="B13" s="24" t="s">
        <v>196</v>
      </c>
      <c r="C13" s="25">
        <v>-0.65249999999999997</v>
      </c>
      <c r="D13" s="82">
        <v>-5.04</v>
      </c>
    </row>
    <row r="14" spans="2:4" x14ac:dyDescent="0.3">
      <c r="B14" s="19" t="s">
        <v>197</v>
      </c>
      <c r="C14" s="84">
        <v>0.73519999999999996</v>
      </c>
      <c r="D14" s="81">
        <v>-2.39</v>
      </c>
    </row>
    <row r="15" spans="2:4" x14ac:dyDescent="0.3">
      <c r="B15" s="19" t="s">
        <v>198</v>
      </c>
      <c r="C15" s="20">
        <v>1</v>
      </c>
      <c r="D15" s="81"/>
    </row>
    <row r="16" spans="2:4" x14ac:dyDescent="0.3">
      <c r="B16" s="24" t="s">
        <v>199</v>
      </c>
      <c r="C16" s="25">
        <v>0.94730000000000003</v>
      </c>
      <c r="D16" s="82">
        <v>-0.44</v>
      </c>
    </row>
    <row r="17" spans="2:4" x14ac:dyDescent="0.3">
      <c r="B17" s="83" t="s">
        <v>60</v>
      </c>
      <c r="C17" s="108">
        <v>3009</v>
      </c>
      <c r="D17" s="109"/>
    </row>
    <row r="18" spans="2:4" x14ac:dyDescent="0.3">
      <c r="B18" s="29" t="s">
        <v>186</v>
      </c>
      <c r="C18" s="106">
        <v>0.23499999999999999</v>
      </c>
      <c r="D18" s="107"/>
    </row>
    <row r="20" spans="2:4" x14ac:dyDescent="0.3">
      <c r="B20" t="s">
        <v>200</v>
      </c>
    </row>
  </sheetData>
  <mergeCells count="2">
    <mergeCell ref="C18:D18"/>
    <mergeCell ref="C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80F6-0A3E-4C34-8A52-4436CEAA5823}">
  <dimension ref="B3:F15"/>
  <sheetViews>
    <sheetView workbookViewId="0">
      <selection activeCell="F28" sqref="E28:F28"/>
    </sheetView>
  </sheetViews>
  <sheetFormatPr defaultRowHeight="14.4" x14ac:dyDescent="0.3"/>
  <cols>
    <col min="2" max="2" width="38.33203125" customWidth="1"/>
    <col min="3" max="3" width="14.88671875" customWidth="1"/>
    <col min="4" max="4" width="11.44140625" customWidth="1"/>
    <col min="5" max="5" width="14.33203125" customWidth="1"/>
    <col min="6" max="6" width="16.5546875" customWidth="1"/>
  </cols>
  <sheetData>
    <row r="3" spans="2:6" x14ac:dyDescent="0.3">
      <c r="B3" s="98" t="s">
        <v>9</v>
      </c>
      <c r="C3" s="100" t="s">
        <v>1</v>
      </c>
      <c r="D3" s="102" t="s">
        <v>173</v>
      </c>
      <c r="E3" s="96" t="s">
        <v>174</v>
      </c>
      <c r="F3" s="97"/>
    </row>
    <row r="4" spans="2:6" ht="15" thickBot="1" x14ac:dyDescent="0.35">
      <c r="B4" s="99"/>
      <c r="C4" s="101"/>
      <c r="D4" s="103"/>
      <c r="E4" s="70" t="s">
        <v>175</v>
      </c>
      <c r="F4" s="64" t="s">
        <v>176</v>
      </c>
    </row>
    <row r="5" spans="2:6" ht="15" thickTop="1" x14ac:dyDescent="0.3">
      <c r="B5" s="66" t="s">
        <v>177</v>
      </c>
      <c r="C5" s="33">
        <v>2.0442999999999998</v>
      </c>
      <c r="D5" s="72">
        <v>7.55</v>
      </c>
      <c r="E5" s="69"/>
      <c r="F5" s="65" t="s">
        <v>3</v>
      </c>
    </row>
    <row r="6" spans="2:6" x14ac:dyDescent="0.3">
      <c r="B6" s="67" t="s">
        <v>178</v>
      </c>
      <c r="C6" s="71">
        <v>0.2369</v>
      </c>
      <c r="D6" s="73">
        <v>2.5499999999999998</v>
      </c>
      <c r="E6" s="1"/>
      <c r="F6" s="32" t="s">
        <v>3</v>
      </c>
    </row>
    <row r="7" spans="2:6" x14ac:dyDescent="0.3">
      <c r="B7" s="67" t="s">
        <v>179</v>
      </c>
      <c r="C7" s="71">
        <v>2.9382000000000001</v>
      </c>
      <c r="D7" s="73">
        <v>11.58</v>
      </c>
      <c r="E7" s="1" t="s">
        <v>3</v>
      </c>
      <c r="F7" s="32"/>
    </row>
    <row r="8" spans="2:6" x14ac:dyDescent="0.3">
      <c r="B8" s="67" t="s">
        <v>180</v>
      </c>
      <c r="C8" s="71">
        <v>1.3766</v>
      </c>
      <c r="D8" s="73">
        <v>3.87</v>
      </c>
      <c r="E8" s="1" t="s">
        <v>3</v>
      </c>
      <c r="F8" s="32"/>
    </row>
    <row r="9" spans="2:6" x14ac:dyDescent="0.3">
      <c r="B9" s="67" t="s">
        <v>181</v>
      </c>
      <c r="C9" s="71">
        <v>1.2396</v>
      </c>
      <c r="D9" s="73">
        <v>3.97</v>
      </c>
      <c r="E9" s="1" t="s">
        <v>3</v>
      </c>
      <c r="F9" s="32"/>
    </row>
    <row r="10" spans="2:6" x14ac:dyDescent="0.3">
      <c r="B10" s="67" t="s">
        <v>182</v>
      </c>
      <c r="C10" s="71">
        <v>0.28670000000000001</v>
      </c>
      <c r="D10" s="73">
        <v>2.02</v>
      </c>
      <c r="E10" s="1"/>
      <c r="F10" s="32" t="s">
        <v>3</v>
      </c>
    </row>
    <row r="11" spans="2:6" x14ac:dyDescent="0.3">
      <c r="B11" s="67" t="s">
        <v>183</v>
      </c>
      <c r="C11" s="71">
        <v>2.0453999999999999</v>
      </c>
      <c r="D11" s="73">
        <v>9.06</v>
      </c>
      <c r="E11" s="1" t="s">
        <v>3</v>
      </c>
      <c r="F11" s="32"/>
    </row>
    <row r="12" spans="2:6" x14ac:dyDescent="0.3">
      <c r="B12" s="67" t="s">
        <v>184</v>
      </c>
      <c r="C12" s="71">
        <v>0.72750000000000004</v>
      </c>
      <c r="D12" s="73">
        <v>6.6</v>
      </c>
      <c r="E12" s="1"/>
      <c r="F12" s="32" t="s">
        <v>3</v>
      </c>
    </row>
    <row r="13" spans="2:6" x14ac:dyDescent="0.3">
      <c r="B13" s="68" t="s">
        <v>185</v>
      </c>
      <c r="C13" s="34">
        <v>0.15240000000000001</v>
      </c>
      <c r="D13" s="74">
        <v>1.38</v>
      </c>
      <c r="E13" s="2" t="s">
        <v>3</v>
      </c>
      <c r="F13" s="31"/>
    </row>
    <row r="14" spans="2:6" x14ac:dyDescent="0.3">
      <c r="B14" s="29" t="s">
        <v>32</v>
      </c>
      <c r="C14" s="104">
        <v>3133</v>
      </c>
      <c r="D14" s="105"/>
      <c r="E14" s="75">
        <v>1567</v>
      </c>
      <c r="F14" s="76">
        <v>1566</v>
      </c>
    </row>
    <row r="15" spans="2:6" x14ac:dyDescent="0.3">
      <c r="B15" s="29" t="s">
        <v>186</v>
      </c>
      <c r="C15" s="95">
        <v>0.186</v>
      </c>
      <c r="D15" s="95"/>
      <c r="E15" s="95"/>
      <c r="F15" s="95"/>
    </row>
  </sheetData>
  <mergeCells count="6">
    <mergeCell ref="C15:F15"/>
    <mergeCell ref="B3:B4"/>
    <mergeCell ref="C3:C4"/>
    <mergeCell ref="D3:D4"/>
    <mergeCell ref="E3:F3"/>
    <mergeCell ref="C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7EBC-14A4-4680-941E-127AA55AF6C8}">
  <dimension ref="B2:F14"/>
  <sheetViews>
    <sheetView workbookViewId="0">
      <selection activeCell="D25" sqref="D25"/>
    </sheetView>
  </sheetViews>
  <sheetFormatPr defaultRowHeight="14.4" x14ac:dyDescent="0.3"/>
  <cols>
    <col min="2" max="2" width="38.44140625" customWidth="1"/>
    <col min="3" max="3" width="11.44140625" customWidth="1"/>
    <col min="4" max="4" width="9.33203125" customWidth="1"/>
    <col min="5" max="6" width="10.109375" customWidth="1"/>
  </cols>
  <sheetData>
    <row r="2" spans="2:6" x14ac:dyDescent="0.3">
      <c r="B2" s="110" t="s">
        <v>0</v>
      </c>
      <c r="C2" s="112" t="s">
        <v>1</v>
      </c>
      <c r="D2" s="114" t="s">
        <v>2</v>
      </c>
      <c r="E2" s="106" t="s">
        <v>34</v>
      </c>
      <c r="F2" s="116"/>
    </row>
    <row r="3" spans="2:6" ht="15" thickBot="1" x14ac:dyDescent="0.35">
      <c r="B3" s="111"/>
      <c r="C3" s="113"/>
      <c r="D3" s="115"/>
      <c r="E3" s="3" t="s">
        <v>4</v>
      </c>
      <c r="F3" s="3" t="s">
        <v>5</v>
      </c>
    </row>
    <row r="4" spans="2:6" ht="15" thickTop="1" x14ac:dyDescent="0.3">
      <c r="B4" s="45" t="s">
        <v>7</v>
      </c>
      <c r="C4" s="46">
        <v>2.2400000000000002</v>
      </c>
      <c r="D4" s="49">
        <v>6.83</v>
      </c>
      <c r="E4" s="2" t="s">
        <v>3</v>
      </c>
      <c r="F4" s="2"/>
    </row>
    <row r="5" spans="2:6" x14ac:dyDescent="0.3">
      <c r="B5" s="47" t="s">
        <v>38</v>
      </c>
      <c r="C5" s="48">
        <v>0.877</v>
      </c>
      <c r="D5" s="50">
        <v>2.42</v>
      </c>
      <c r="E5" s="1"/>
      <c r="F5" s="1" t="s">
        <v>3</v>
      </c>
    </row>
    <row r="6" spans="2:6" x14ac:dyDescent="0.3">
      <c r="B6" s="47" t="s">
        <v>39</v>
      </c>
      <c r="C6" s="48">
        <v>0.76300000000000001</v>
      </c>
      <c r="D6" s="50">
        <v>2.79</v>
      </c>
      <c r="E6" s="1"/>
      <c r="F6" s="1" t="s">
        <v>3</v>
      </c>
    </row>
    <row r="7" spans="2:6" x14ac:dyDescent="0.3">
      <c r="B7" s="47" t="s">
        <v>36</v>
      </c>
      <c r="C7" s="48">
        <v>1.07</v>
      </c>
      <c r="D7" s="50">
        <v>1.75</v>
      </c>
      <c r="E7" s="1" t="s">
        <v>3</v>
      </c>
      <c r="F7" s="1"/>
    </row>
    <row r="8" spans="2:6" x14ac:dyDescent="0.3">
      <c r="B8" s="47" t="s">
        <v>40</v>
      </c>
      <c r="C8" s="48">
        <v>0.88700000000000001</v>
      </c>
      <c r="D8" s="50">
        <v>1.85</v>
      </c>
      <c r="E8" s="1" t="s">
        <v>3</v>
      </c>
      <c r="F8" s="1"/>
    </row>
    <row r="9" spans="2:6" x14ac:dyDescent="0.3">
      <c r="B9" s="47" t="s">
        <v>37</v>
      </c>
      <c r="C9" s="48">
        <v>1.8</v>
      </c>
      <c r="D9" s="50">
        <v>6.82</v>
      </c>
      <c r="E9" s="1"/>
      <c r="F9" s="1" t="s">
        <v>3</v>
      </c>
    </row>
    <row r="10" spans="2:6" x14ac:dyDescent="0.3">
      <c r="B10" s="47" t="s">
        <v>41</v>
      </c>
      <c r="C10" s="48">
        <v>0.89500000000000002</v>
      </c>
      <c r="D10" s="50">
        <v>2.34</v>
      </c>
      <c r="E10" s="1"/>
      <c r="F10" s="1" t="s">
        <v>3</v>
      </c>
    </row>
    <row r="11" spans="2:6" x14ac:dyDescent="0.3">
      <c r="B11" s="9" t="s">
        <v>32</v>
      </c>
      <c r="C11" s="118">
        <v>463</v>
      </c>
      <c r="D11" s="119"/>
      <c r="E11" s="119"/>
      <c r="F11" s="119"/>
    </row>
    <row r="12" spans="2:6" x14ac:dyDescent="0.3">
      <c r="B12" s="51" t="s">
        <v>11</v>
      </c>
      <c r="C12" s="96">
        <v>0.20799999999999999</v>
      </c>
      <c r="D12" s="97"/>
      <c r="E12" s="97"/>
      <c r="F12" s="117"/>
    </row>
    <row r="14" spans="2:6" x14ac:dyDescent="0.3">
      <c r="B14" t="s">
        <v>163</v>
      </c>
    </row>
  </sheetData>
  <mergeCells count="6">
    <mergeCell ref="B2:B3"/>
    <mergeCell ref="C2:C3"/>
    <mergeCell ref="D2:D3"/>
    <mergeCell ref="E2:F2"/>
    <mergeCell ref="C12:F12"/>
    <mergeCell ref="C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98A2-A786-4EFD-80CD-53055EE9C6BB}">
  <dimension ref="B2:G15"/>
  <sheetViews>
    <sheetView zoomScale="150" zoomScaleNormal="150" workbookViewId="0">
      <selection activeCell="B20" sqref="B20"/>
    </sheetView>
  </sheetViews>
  <sheetFormatPr defaultRowHeight="14.4" x14ac:dyDescent="0.3"/>
  <cols>
    <col min="2" max="2" width="41" customWidth="1"/>
    <col min="3" max="3" width="12.109375" customWidth="1"/>
    <col min="4" max="4" width="10.33203125" customWidth="1"/>
    <col min="5" max="5" width="8.33203125" customWidth="1"/>
    <col min="6" max="6" width="8" customWidth="1"/>
    <col min="7" max="7" width="7.6640625" customWidth="1"/>
  </cols>
  <sheetData>
    <row r="2" spans="2:7" x14ac:dyDescent="0.3">
      <c r="B2" s="110" t="s">
        <v>0</v>
      </c>
      <c r="C2" s="112" t="s">
        <v>1</v>
      </c>
      <c r="D2" s="114" t="s">
        <v>2</v>
      </c>
      <c r="E2" s="106" t="s">
        <v>48</v>
      </c>
      <c r="F2" s="95"/>
      <c r="G2" s="116"/>
    </row>
    <row r="3" spans="2:7" ht="15" thickBot="1" x14ac:dyDescent="0.35">
      <c r="B3" s="120"/>
      <c r="C3" s="113"/>
      <c r="D3" s="115"/>
      <c r="E3" s="3" t="s">
        <v>4</v>
      </c>
      <c r="F3" s="3" t="s">
        <v>5</v>
      </c>
      <c r="G3" s="3" t="s">
        <v>6</v>
      </c>
    </row>
    <row r="4" spans="2:7" ht="15" thickTop="1" x14ac:dyDescent="0.3">
      <c r="B4" s="52" t="s">
        <v>7</v>
      </c>
      <c r="C4" s="54">
        <v>0.71899999999999997</v>
      </c>
      <c r="D4" s="53">
        <v>8.14</v>
      </c>
      <c r="E4" s="1" t="s">
        <v>3</v>
      </c>
      <c r="F4" s="1"/>
      <c r="G4" s="1"/>
    </row>
    <row r="5" spans="2:7" x14ac:dyDescent="0.3">
      <c r="B5" s="45" t="s">
        <v>8</v>
      </c>
      <c r="C5" s="46">
        <v>1.51</v>
      </c>
      <c r="D5" s="49">
        <v>15.42</v>
      </c>
      <c r="E5" s="2"/>
      <c r="F5" s="2" t="s">
        <v>3</v>
      </c>
      <c r="G5" s="2"/>
    </row>
    <row r="6" spans="2:7" x14ac:dyDescent="0.3">
      <c r="B6" s="47" t="s">
        <v>42</v>
      </c>
      <c r="C6" s="48">
        <v>2.73</v>
      </c>
      <c r="D6" s="50">
        <v>7.21</v>
      </c>
      <c r="E6" s="1" t="s">
        <v>3</v>
      </c>
      <c r="F6" s="1"/>
      <c r="G6" s="1"/>
    </row>
    <row r="7" spans="2:7" x14ac:dyDescent="0.3">
      <c r="B7" s="47" t="s">
        <v>43</v>
      </c>
      <c r="C7" s="48">
        <v>0.91500000000000004</v>
      </c>
      <c r="D7" s="50">
        <v>7.21</v>
      </c>
      <c r="E7" s="1" t="s">
        <v>3</v>
      </c>
      <c r="F7" s="1"/>
      <c r="G7" s="1"/>
    </row>
    <row r="8" spans="2:7" x14ac:dyDescent="0.3">
      <c r="B8" s="47" t="s">
        <v>44</v>
      </c>
      <c r="C8" s="48">
        <v>0.71799999999999997</v>
      </c>
      <c r="D8" s="50">
        <v>3.01</v>
      </c>
      <c r="E8" s="1" t="s">
        <v>3</v>
      </c>
      <c r="F8" s="1"/>
      <c r="G8" s="1"/>
    </row>
    <row r="9" spans="2:7" x14ac:dyDescent="0.3">
      <c r="B9" s="47" t="s">
        <v>51</v>
      </c>
      <c r="C9" s="48">
        <v>0.25900000000000001</v>
      </c>
      <c r="D9" s="50">
        <v>2.13</v>
      </c>
      <c r="E9" s="1" t="s">
        <v>3</v>
      </c>
      <c r="F9" s="1"/>
      <c r="G9" s="1"/>
    </row>
    <row r="10" spans="2:7" x14ac:dyDescent="0.3">
      <c r="B10" s="47" t="s">
        <v>36</v>
      </c>
      <c r="C10" s="48">
        <v>1.25</v>
      </c>
      <c r="D10" s="50">
        <v>10.63</v>
      </c>
      <c r="E10" s="1" t="s">
        <v>3</v>
      </c>
      <c r="F10" s="1"/>
      <c r="G10" s="1"/>
    </row>
    <row r="11" spans="2:7" x14ac:dyDescent="0.3">
      <c r="B11" s="47" t="s">
        <v>45</v>
      </c>
      <c r="C11" s="48">
        <v>0.43099999999999999</v>
      </c>
      <c r="D11" s="50">
        <v>4.34</v>
      </c>
      <c r="E11" s="1" t="s">
        <v>3</v>
      </c>
      <c r="F11" s="1"/>
      <c r="G11" s="1"/>
    </row>
    <row r="12" spans="2:7" x14ac:dyDescent="0.3">
      <c r="B12" s="47" t="s">
        <v>46</v>
      </c>
      <c r="C12" s="48">
        <v>0.35199999999999998</v>
      </c>
      <c r="D12" s="50">
        <v>3.51</v>
      </c>
      <c r="E12" s="1"/>
      <c r="F12" s="1" t="s">
        <v>3</v>
      </c>
      <c r="G12" s="1" t="s">
        <v>3</v>
      </c>
    </row>
    <row r="13" spans="2:7" x14ac:dyDescent="0.3">
      <c r="B13" s="47" t="s">
        <v>47</v>
      </c>
      <c r="C13" s="48">
        <v>0.123</v>
      </c>
      <c r="D13" s="50">
        <v>0.87</v>
      </c>
      <c r="E13" s="1"/>
      <c r="F13" s="1"/>
      <c r="G13" s="1" t="s">
        <v>3</v>
      </c>
    </row>
    <row r="14" spans="2:7" x14ac:dyDescent="0.3">
      <c r="B14" s="9" t="s">
        <v>32</v>
      </c>
      <c r="C14" s="118">
        <v>3133</v>
      </c>
      <c r="D14" s="119"/>
      <c r="E14" s="119"/>
      <c r="F14" s="119"/>
      <c r="G14" s="119"/>
    </row>
    <row r="15" spans="2:7" x14ac:dyDescent="0.3">
      <c r="B15" s="51" t="s">
        <v>11</v>
      </c>
      <c r="C15" s="96">
        <v>0.187</v>
      </c>
      <c r="D15" s="97"/>
      <c r="E15" s="97"/>
      <c r="F15" s="97"/>
      <c r="G15" s="117"/>
    </row>
  </sheetData>
  <mergeCells count="6">
    <mergeCell ref="C15:G15"/>
    <mergeCell ref="B2:B3"/>
    <mergeCell ref="C2:C3"/>
    <mergeCell ref="D2:D3"/>
    <mergeCell ref="E2:G2"/>
    <mergeCell ref="C14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C78A-E73A-4957-907D-2FA0E58D1D17}">
  <dimension ref="B2:G15"/>
  <sheetViews>
    <sheetView zoomScale="150" zoomScaleNormal="150" workbookViewId="0">
      <selection activeCell="J18" sqref="J18"/>
    </sheetView>
  </sheetViews>
  <sheetFormatPr defaultRowHeight="14.4" x14ac:dyDescent="0.3"/>
  <cols>
    <col min="2" max="2" width="48.109375" customWidth="1"/>
    <col min="3" max="3" width="10.88671875" customWidth="1"/>
    <col min="4" max="4" width="9" customWidth="1"/>
    <col min="5" max="6" width="8.5546875" customWidth="1"/>
    <col min="7" max="7" width="8" customWidth="1"/>
  </cols>
  <sheetData>
    <row r="2" spans="2:7" x14ac:dyDescent="0.3">
      <c r="B2" s="110" t="s">
        <v>0</v>
      </c>
      <c r="C2" s="112" t="s">
        <v>1</v>
      </c>
      <c r="D2" s="114" t="s">
        <v>2</v>
      </c>
      <c r="E2" s="106" t="s">
        <v>49</v>
      </c>
      <c r="F2" s="95"/>
      <c r="G2" s="116"/>
    </row>
    <row r="3" spans="2:7" ht="15" thickBot="1" x14ac:dyDescent="0.35">
      <c r="B3" s="120"/>
      <c r="C3" s="113"/>
      <c r="D3" s="115"/>
      <c r="E3" s="3" t="s">
        <v>4</v>
      </c>
      <c r="F3" s="3" t="s">
        <v>5</v>
      </c>
      <c r="G3" s="3" t="s">
        <v>6</v>
      </c>
    </row>
    <row r="4" spans="2:7" ht="15" thickTop="1" x14ac:dyDescent="0.3">
      <c r="B4" s="52" t="s">
        <v>7</v>
      </c>
      <c r="C4" s="54">
        <v>1.23</v>
      </c>
      <c r="D4" s="53">
        <v>7.97</v>
      </c>
      <c r="E4" s="1" t="s">
        <v>3</v>
      </c>
      <c r="F4" s="1"/>
      <c r="G4" s="1"/>
    </row>
    <row r="5" spans="2:7" x14ac:dyDescent="0.3">
      <c r="B5" s="45" t="s">
        <v>8</v>
      </c>
      <c r="C5" s="46">
        <v>1.18</v>
      </c>
      <c r="D5" s="49">
        <v>9.31</v>
      </c>
      <c r="E5" s="2"/>
      <c r="F5" s="2" t="s">
        <v>3</v>
      </c>
      <c r="G5" s="2"/>
    </row>
    <row r="6" spans="2:7" x14ac:dyDescent="0.3">
      <c r="B6" s="47" t="s">
        <v>42</v>
      </c>
      <c r="C6" s="48">
        <v>0.91300000000000003</v>
      </c>
      <c r="D6" s="50">
        <v>5.29</v>
      </c>
      <c r="E6" s="1" t="s">
        <v>3</v>
      </c>
      <c r="F6" s="1"/>
      <c r="G6" s="1"/>
    </row>
    <row r="7" spans="2:7" x14ac:dyDescent="0.3">
      <c r="B7" s="47" t="s">
        <v>50</v>
      </c>
      <c r="C7" s="48">
        <v>1.1499999999999999</v>
      </c>
      <c r="D7" s="50">
        <v>8.44</v>
      </c>
      <c r="E7" s="1" t="s">
        <v>3</v>
      </c>
      <c r="F7" s="1"/>
      <c r="G7" s="1"/>
    </row>
    <row r="8" spans="2:7" x14ac:dyDescent="0.3">
      <c r="B8" s="47" t="s">
        <v>50</v>
      </c>
      <c r="C8" s="48">
        <v>0.61099999999999999</v>
      </c>
      <c r="D8" s="50">
        <v>4.45</v>
      </c>
      <c r="E8" s="1"/>
      <c r="F8" s="1" t="s">
        <v>3</v>
      </c>
      <c r="G8" s="1"/>
    </row>
    <row r="9" spans="2:7" x14ac:dyDescent="0.3">
      <c r="B9" s="47" t="s">
        <v>45</v>
      </c>
      <c r="C9" s="48">
        <v>0.316</v>
      </c>
      <c r="D9" s="50">
        <v>3.4</v>
      </c>
      <c r="E9" s="1" t="s">
        <v>3</v>
      </c>
      <c r="F9" s="1"/>
      <c r="G9" s="1"/>
    </row>
    <row r="10" spans="2:7" x14ac:dyDescent="0.3">
      <c r="B10" s="47" t="s">
        <v>39</v>
      </c>
      <c r="C10" s="48">
        <v>0.10100000000000001</v>
      </c>
      <c r="D10" s="50">
        <v>1.1299999999999999</v>
      </c>
      <c r="E10" s="1"/>
      <c r="F10" s="1" t="s">
        <v>3</v>
      </c>
      <c r="G10" s="1" t="s">
        <v>3</v>
      </c>
    </row>
    <row r="11" spans="2:7" x14ac:dyDescent="0.3">
      <c r="B11" s="47" t="s">
        <v>36</v>
      </c>
      <c r="C11" s="48">
        <v>-0.53300000000000003</v>
      </c>
      <c r="D11" s="50">
        <v>-2.54</v>
      </c>
      <c r="E11" s="1"/>
      <c r="F11" s="1"/>
      <c r="G11" s="1" t="s">
        <v>3</v>
      </c>
    </row>
    <row r="12" spans="2:7" x14ac:dyDescent="0.3">
      <c r="B12" s="47" t="s">
        <v>52</v>
      </c>
      <c r="C12" s="48">
        <v>2.4500000000000001E-2</v>
      </c>
      <c r="D12" s="50">
        <v>2.93</v>
      </c>
      <c r="E12" s="1"/>
      <c r="F12" s="1" t="s">
        <v>3</v>
      </c>
      <c r="G12" s="1"/>
    </row>
    <row r="13" spans="2:7" x14ac:dyDescent="0.3">
      <c r="B13" s="47" t="s">
        <v>52</v>
      </c>
      <c r="C13" s="48">
        <v>2.6599999999999999E-2</v>
      </c>
      <c r="D13" s="50">
        <v>2</v>
      </c>
      <c r="E13" s="1"/>
      <c r="F13" s="1"/>
      <c r="G13" s="1" t="s">
        <v>3</v>
      </c>
    </row>
    <row r="14" spans="2:7" x14ac:dyDescent="0.3">
      <c r="B14" s="9" t="s">
        <v>32</v>
      </c>
      <c r="C14" s="118">
        <v>3133</v>
      </c>
      <c r="D14" s="119"/>
      <c r="E14" s="119"/>
      <c r="F14" s="119"/>
      <c r="G14" s="119"/>
    </row>
    <row r="15" spans="2:7" x14ac:dyDescent="0.3">
      <c r="B15" s="51" t="s">
        <v>11</v>
      </c>
      <c r="C15" s="96">
        <v>0.17199999999999999</v>
      </c>
      <c r="D15" s="97"/>
      <c r="E15" s="97"/>
      <c r="F15" s="97"/>
      <c r="G15" s="117"/>
    </row>
  </sheetData>
  <mergeCells count="6">
    <mergeCell ref="C15:G15"/>
    <mergeCell ref="B2:B3"/>
    <mergeCell ref="C2:C3"/>
    <mergeCell ref="D2:D3"/>
    <mergeCell ref="E2:G2"/>
    <mergeCell ref="C14:G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6B3B-C497-413F-A79A-50157853053E}">
  <dimension ref="B2:G20"/>
  <sheetViews>
    <sheetView zoomScale="150" zoomScaleNormal="150" workbookViewId="0">
      <selection activeCell="J15" sqref="J15:J16"/>
    </sheetView>
  </sheetViews>
  <sheetFormatPr defaultRowHeight="14.4" x14ac:dyDescent="0.3"/>
  <cols>
    <col min="2" max="2" width="47.5546875" customWidth="1"/>
    <col min="3" max="3" width="10.88671875" customWidth="1"/>
    <col min="4" max="4" width="9.44140625" customWidth="1"/>
    <col min="5" max="5" width="8.44140625" customWidth="1"/>
    <col min="6" max="6" width="7.6640625" customWidth="1"/>
    <col min="7" max="7" width="6.88671875" customWidth="1"/>
  </cols>
  <sheetData>
    <row r="2" spans="2:7" x14ac:dyDescent="0.3">
      <c r="B2" s="110" t="s">
        <v>0</v>
      </c>
      <c r="C2" s="112" t="s">
        <v>1</v>
      </c>
      <c r="D2" s="114" t="s">
        <v>2</v>
      </c>
      <c r="E2" s="106" t="s">
        <v>54</v>
      </c>
      <c r="F2" s="95"/>
      <c r="G2" s="116"/>
    </row>
    <row r="3" spans="2:7" ht="15" thickBot="1" x14ac:dyDescent="0.35">
      <c r="B3" s="120"/>
      <c r="C3" s="113"/>
      <c r="D3" s="115"/>
      <c r="E3" s="3" t="s">
        <v>4</v>
      </c>
      <c r="F3" s="3" t="s">
        <v>5</v>
      </c>
      <c r="G3" s="3" t="s">
        <v>6</v>
      </c>
    </row>
    <row r="4" spans="2:7" ht="15" thickTop="1" x14ac:dyDescent="0.3">
      <c r="B4" s="52" t="s">
        <v>7</v>
      </c>
      <c r="C4" s="54">
        <v>2.69</v>
      </c>
      <c r="D4" s="53">
        <v>9.3000000000000007</v>
      </c>
      <c r="E4" s="1" t="s">
        <v>3</v>
      </c>
      <c r="F4" s="1"/>
      <c r="G4" s="1"/>
    </row>
    <row r="5" spans="2:7" x14ac:dyDescent="0.3">
      <c r="B5" s="45" t="s">
        <v>8</v>
      </c>
      <c r="C5" s="46">
        <v>2.56</v>
      </c>
      <c r="D5" s="49">
        <v>9.27</v>
      </c>
      <c r="E5" s="2"/>
      <c r="F5" s="2" t="s">
        <v>3</v>
      </c>
      <c r="G5" s="2"/>
    </row>
    <row r="6" spans="2:7" x14ac:dyDescent="0.3">
      <c r="B6" s="47" t="s">
        <v>42</v>
      </c>
      <c r="C6" s="48">
        <v>2.2599999999999998</v>
      </c>
      <c r="D6" s="50">
        <v>7.91</v>
      </c>
      <c r="E6" s="1" t="s">
        <v>3</v>
      </c>
      <c r="F6" s="1"/>
      <c r="G6" s="1"/>
    </row>
    <row r="7" spans="2:7" x14ac:dyDescent="0.3">
      <c r="B7" s="47" t="s">
        <v>43</v>
      </c>
      <c r="C7" s="48">
        <v>0.61599999999999999</v>
      </c>
      <c r="D7" s="50">
        <v>3.9</v>
      </c>
      <c r="E7" s="1" t="s">
        <v>3</v>
      </c>
      <c r="F7" s="1"/>
      <c r="G7" s="1"/>
    </row>
    <row r="8" spans="2:7" x14ac:dyDescent="0.3">
      <c r="B8" s="47" t="s">
        <v>50</v>
      </c>
      <c r="C8" s="48">
        <v>2.29</v>
      </c>
      <c r="D8" s="50">
        <v>7.02</v>
      </c>
      <c r="E8" s="1" t="s">
        <v>3</v>
      </c>
      <c r="F8" s="1"/>
      <c r="G8" s="1"/>
    </row>
    <row r="9" spans="2:7" x14ac:dyDescent="0.3">
      <c r="B9" s="47" t="s">
        <v>50</v>
      </c>
      <c r="C9" s="48">
        <v>0.84499999999999997</v>
      </c>
      <c r="D9" s="50">
        <v>2.58</v>
      </c>
      <c r="E9" s="1"/>
      <c r="F9" s="1" t="s">
        <v>3</v>
      </c>
      <c r="G9" s="1"/>
    </row>
    <row r="10" spans="2:7" x14ac:dyDescent="0.3">
      <c r="B10" s="47" t="s">
        <v>53</v>
      </c>
      <c r="C10" s="48">
        <v>2.91</v>
      </c>
      <c r="D10" s="50">
        <v>7.1</v>
      </c>
      <c r="E10" s="1" t="s">
        <v>3</v>
      </c>
      <c r="F10" s="1"/>
      <c r="G10" s="1"/>
    </row>
    <row r="11" spans="2:7" x14ac:dyDescent="0.3">
      <c r="B11" s="47" t="s">
        <v>53</v>
      </c>
      <c r="C11" s="48">
        <v>1.83</v>
      </c>
      <c r="D11" s="50">
        <v>4.4400000000000004</v>
      </c>
      <c r="E11" s="1"/>
      <c r="F11" s="1" t="s">
        <v>3</v>
      </c>
      <c r="G11" s="1"/>
    </row>
    <row r="12" spans="2:7" x14ac:dyDescent="0.3">
      <c r="B12" s="47" t="s">
        <v>51</v>
      </c>
      <c r="C12" s="48">
        <v>0.39</v>
      </c>
      <c r="D12" s="50">
        <v>3.08</v>
      </c>
      <c r="E12" s="1" t="s">
        <v>3</v>
      </c>
      <c r="F12" s="1"/>
      <c r="G12" s="1"/>
    </row>
    <row r="13" spans="2:7" x14ac:dyDescent="0.3">
      <c r="B13" s="47" t="s">
        <v>39</v>
      </c>
      <c r="C13" s="48">
        <v>0.129</v>
      </c>
      <c r="D13" s="50">
        <v>1.21</v>
      </c>
      <c r="E13" s="1"/>
      <c r="F13" s="1" t="s">
        <v>3</v>
      </c>
      <c r="G13" s="1" t="s">
        <v>3</v>
      </c>
    </row>
    <row r="14" spans="2:7" x14ac:dyDescent="0.3">
      <c r="B14" s="47" t="s">
        <v>46</v>
      </c>
      <c r="C14" s="48">
        <v>0.159</v>
      </c>
      <c r="D14" s="50">
        <v>1.47</v>
      </c>
      <c r="E14" s="1"/>
      <c r="F14" s="1" t="s">
        <v>3</v>
      </c>
      <c r="G14" s="1" t="s">
        <v>3</v>
      </c>
    </row>
    <row r="15" spans="2:7" x14ac:dyDescent="0.3">
      <c r="B15" s="47" t="s">
        <v>36</v>
      </c>
      <c r="C15" s="48">
        <v>0.91600000000000004</v>
      </c>
      <c r="D15" s="50">
        <v>7.15</v>
      </c>
      <c r="E15" s="1"/>
      <c r="F15" s="1" t="s">
        <v>3</v>
      </c>
      <c r="G15" s="1"/>
    </row>
    <row r="16" spans="2:7" x14ac:dyDescent="0.3">
      <c r="B16" s="47" t="s">
        <v>36</v>
      </c>
      <c r="C16" s="48">
        <v>1.52</v>
      </c>
      <c r="D16" s="50">
        <v>5.29</v>
      </c>
      <c r="E16" s="1"/>
      <c r="F16" s="1"/>
      <c r="G16" s="1" t="s">
        <v>3</v>
      </c>
    </row>
    <row r="17" spans="2:7" x14ac:dyDescent="0.3">
      <c r="B17" s="47" t="s">
        <v>52</v>
      </c>
      <c r="C17" s="48">
        <v>8.8999999999999996E-2</v>
      </c>
      <c r="D17" s="50">
        <v>3.84</v>
      </c>
      <c r="E17" s="1"/>
      <c r="F17" s="1" t="s">
        <v>3</v>
      </c>
      <c r="G17" s="1"/>
    </row>
    <row r="18" spans="2:7" x14ac:dyDescent="0.3">
      <c r="B18" s="47" t="s">
        <v>52</v>
      </c>
      <c r="C18" s="48">
        <v>0.254</v>
      </c>
      <c r="D18" s="50">
        <v>3.65</v>
      </c>
      <c r="E18" s="1"/>
      <c r="F18" s="1"/>
      <c r="G18" s="1" t="s">
        <v>3</v>
      </c>
    </row>
    <row r="19" spans="2:7" x14ac:dyDescent="0.3">
      <c r="B19" s="9" t="s">
        <v>32</v>
      </c>
      <c r="C19" s="118">
        <v>3133</v>
      </c>
      <c r="D19" s="119"/>
      <c r="E19" s="119"/>
      <c r="F19" s="119"/>
      <c r="G19" s="119"/>
    </row>
    <row r="20" spans="2:7" x14ac:dyDescent="0.3">
      <c r="B20" s="51" t="s">
        <v>11</v>
      </c>
      <c r="C20" s="96">
        <v>0.47699999999999998</v>
      </c>
      <c r="D20" s="97"/>
      <c r="E20" s="97"/>
      <c r="F20" s="97"/>
      <c r="G20" s="117"/>
    </row>
  </sheetData>
  <mergeCells count="6">
    <mergeCell ref="C20:G20"/>
    <mergeCell ref="B2:B3"/>
    <mergeCell ref="C2:C3"/>
    <mergeCell ref="D2:D3"/>
    <mergeCell ref="E2:G2"/>
    <mergeCell ref="C19:G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4522-8238-4079-9140-1792C92CD04C}">
  <dimension ref="B2:H14"/>
  <sheetViews>
    <sheetView zoomScale="150" zoomScaleNormal="150" workbookViewId="0">
      <selection activeCell="B18" sqref="B18"/>
    </sheetView>
  </sheetViews>
  <sheetFormatPr defaultRowHeight="14.4" x14ac:dyDescent="0.3"/>
  <cols>
    <col min="2" max="2" width="46" customWidth="1"/>
    <col min="3" max="3" width="10.5546875" customWidth="1"/>
    <col min="6" max="6" width="24.33203125" customWidth="1"/>
    <col min="7" max="7" width="16.33203125" customWidth="1"/>
    <col min="8" max="8" width="10" customWidth="1"/>
  </cols>
  <sheetData>
    <row r="2" spans="2:8" ht="15" thickBot="1" x14ac:dyDescent="0.35">
      <c r="B2" s="13" t="s">
        <v>9</v>
      </c>
      <c r="C2" s="14" t="s">
        <v>1</v>
      </c>
      <c r="D2" s="15" t="s">
        <v>12</v>
      </c>
      <c r="F2" s="16" t="s">
        <v>13</v>
      </c>
      <c r="G2" s="17" t="s">
        <v>14</v>
      </c>
      <c r="H2" s="18" t="s">
        <v>12</v>
      </c>
    </row>
    <row r="3" spans="2:8" ht="15" thickTop="1" x14ac:dyDescent="0.3">
      <c r="B3" s="19" t="s">
        <v>167</v>
      </c>
      <c r="C3" s="20">
        <v>-2.37</v>
      </c>
      <c r="D3" s="21">
        <v>-4.32</v>
      </c>
      <c r="F3" s="19" t="s">
        <v>165</v>
      </c>
      <c r="G3" s="22">
        <v>1</v>
      </c>
      <c r="H3" s="23"/>
    </row>
    <row r="4" spans="2:8" x14ac:dyDescent="0.3">
      <c r="B4" s="24" t="s">
        <v>168</v>
      </c>
      <c r="C4" s="25">
        <v>-0.432</v>
      </c>
      <c r="D4" s="26">
        <v>-0.66</v>
      </c>
      <c r="F4" s="19" t="s">
        <v>164</v>
      </c>
      <c r="G4" s="22">
        <v>0.92</v>
      </c>
      <c r="H4" s="23">
        <v>-0.57999999999999996</v>
      </c>
    </row>
    <row r="5" spans="2:8" x14ac:dyDescent="0.3">
      <c r="B5" s="19" t="s">
        <v>56</v>
      </c>
      <c r="C5" s="20">
        <v>-5.1999999999999998E-2</v>
      </c>
      <c r="D5" s="21">
        <v>-3.5</v>
      </c>
      <c r="F5" s="24" t="s">
        <v>55</v>
      </c>
      <c r="G5" s="27">
        <v>0.78600000000000003</v>
      </c>
      <c r="H5" s="28">
        <v>-1.83</v>
      </c>
    </row>
    <row r="6" spans="2:8" x14ac:dyDescent="0.3">
      <c r="B6" s="19" t="s">
        <v>57</v>
      </c>
      <c r="C6" s="20">
        <v>-7.7299999999999994E-2</v>
      </c>
      <c r="D6" s="21">
        <v>-4.58</v>
      </c>
    </row>
    <row r="7" spans="2:8" x14ac:dyDescent="0.3">
      <c r="B7" s="19" t="s">
        <v>166</v>
      </c>
      <c r="C7" s="20">
        <v>1.63</v>
      </c>
      <c r="D7" s="21">
        <v>2.4500000000000002</v>
      </c>
    </row>
    <row r="8" spans="2:8" x14ac:dyDescent="0.3">
      <c r="B8" s="19" t="s">
        <v>58</v>
      </c>
      <c r="C8" s="20">
        <v>1.28</v>
      </c>
      <c r="D8" s="21">
        <v>3.13</v>
      </c>
    </row>
    <row r="9" spans="2:8" x14ac:dyDescent="0.3">
      <c r="B9" s="24" t="s">
        <v>59</v>
      </c>
      <c r="C9" s="25">
        <v>0.872</v>
      </c>
      <c r="D9" s="26">
        <v>3.06</v>
      </c>
    </row>
    <row r="10" spans="2:8" x14ac:dyDescent="0.3">
      <c r="B10" s="19" t="s">
        <v>15</v>
      </c>
      <c r="C10" s="20">
        <v>0.47599999999999998</v>
      </c>
      <c r="D10" s="23">
        <v>-8.4</v>
      </c>
    </row>
    <row r="11" spans="2:8" x14ac:dyDescent="0.3">
      <c r="B11" s="55" t="s">
        <v>60</v>
      </c>
      <c r="C11" s="123">
        <v>180</v>
      </c>
      <c r="D11" s="124"/>
    </row>
    <row r="12" spans="2:8" x14ac:dyDescent="0.3">
      <c r="B12" s="56" t="s">
        <v>11</v>
      </c>
      <c r="C12" s="121">
        <v>0.11600000000000001</v>
      </c>
      <c r="D12" s="122"/>
    </row>
    <row r="14" spans="2:8" x14ac:dyDescent="0.3">
      <c r="B14" s="30" t="s">
        <v>169</v>
      </c>
    </row>
  </sheetData>
  <mergeCells count="2">
    <mergeCell ref="C12:D12"/>
    <mergeCell ref="C11:D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39AB-46F4-4D61-A46E-83770270AA82}">
  <dimension ref="B2:H24"/>
  <sheetViews>
    <sheetView zoomScale="150" zoomScaleNormal="150" workbookViewId="0">
      <selection activeCell="C7" sqref="C7"/>
    </sheetView>
  </sheetViews>
  <sheetFormatPr defaultRowHeight="14.4" x14ac:dyDescent="0.3"/>
  <cols>
    <col min="2" max="2" width="56.5546875" customWidth="1"/>
    <col min="3" max="3" width="10.5546875" customWidth="1"/>
    <col min="4" max="4" width="11.6640625" customWidth="1"/>
    <col min="6" max="6" width="24.33203125" customWidth="1"/>
    <col min="7" max="7" width="16.33203125" customWidth="1"/>
    <col min="8" max="8" width="10" customWidth="1"/>
  </cols>
  <sheetData>
    <row r="2" spans="2:8" ht="15" thickBot="1" x14ac:dyDescent="0.35">
      <c r="B2" s="13" t="s">
        <v>9</v>
      </c>
      <c r="C2" s="14" t="s">
        <v>1</v>
      </c>
      <c r="D2" s="15" t="s">
        <v>12</v>
      </c>
      <c r="F2" s="16" t="s">
        <v>13</v>
      </c>
      <c r="G2" s="17" t="s">
        <v>14</v>
      </c>
      <c r="H2" s="18" t="s">
        <v>12</v>
      </c>
    </row>
    <row r="3" spans="2:8" ht="15" thickTop="1" x14ac:dyDescent="0.3">
      <c r="B3" s="19" t="s">
        <v>66</v>
      </c>
      <c r="C3" s="20">
        <v>1.52</v>
      </c>
      <c r="D3" s="21">
        <v>10.119999999999999</v>
      </c>
      <c r="F3" s="19" t="s">
        <v>65</v>
      </c>
      <c r="G3" s="22">
        <v>1</v>
      </c>
      <c r="H3" s="23"/>
    </row>
    <row r="4" spans="2:8" x14ac:dyDescent="0.3">
      <c r="B4" s="19" t="s">
        <v>67</v>
      </c>
      <c r="C4" s="20">
        <v>-1.35</v>
      </c>
      <c r="D4" s="21">
        <v>-6.5</v>
      </c>
      <c r="F4" s="19" t="s">
        <v>61</v>
      </c>
      <c r="G4" s="22">
        <v>1</v>
      </c>
      <c r="H4" s="23"/>
    </row>
    <row r="5" spans="2:8" x14ac:dyDescent="0.3">
      <c r="B5" s="19" t="s">
        <v>68</v>
      </c>
      <c r="C5" s="20">
        <v>1.08</v>
      </c>
      <c r="D5" s="21">
        <v>3.98</v>
      </c>
      <c r="F5" s="19" t="s">
        <v>62</v>
      </c>
      <c r="G5" s="22">
        <v>1</v>
      </c>
      <c r="H5" s="23"/>
    </row>
    <row r="6" spans="2:8" x14ac:dyDescent="0.3">
      <c r="B6" s="19" t="s">
        <v>69</v>
      </c>
      <c r="C6" s="20">
        <v>-0.34100000000000003</v>
      </c>
      <c r="D6" s="21">
        <v>-1.1000000000000001</v>
      </c>
      <c r="F6" s="19" t="s">
        <v>64</v>
      </c>
      <c r="G6" s="22">
        <v>1</v>
      </c>
      <c r="H6" s="23"/>
    </row>
    <row r="7" spans="2:8" x14ac:dyDescent="0.3">
      <c r="B7" s="24" t="s">
        <v>70</v>
      </c>
      <c r="C7" s="25">
        <v>-0.79100000000000004</v>
      </c>
      <c r="D7" s="26">
        <v>-1.62</v>
      </c>
      <c r="F7" s="19" t="s">
        <v>63</v>
      </c>
      <c r="G7" s="22">
        <v>0.91</v>
      </c>
      <c r="H7" s="23">
        <v>-0.3</v>
      </c>
    </row>
    <row r="8" spans="2:8" x14ac:dyDescent="0.3">
      <c r="B8" s="19" t="s">
        <v>71</v>
      </c>
      <c r="C8" s="20">
        <v>-7.51E-2</v>
      </c>
      <c r="D8" s="21">
        <v>-8.3800000000000008</v>
      </c>
      <c r="F8" s="24" t="s">
        <v>55</v>
      </c>
      <c r="G8" s="27">
        <v>0.20200000000000001</v>
      </c>
      <c r="H8" s="28">
        <v>-22</v>
      </c>
    </row>
    <row r="9" spans="2:8" x14ac:dyDescent="0.3">
      <c r="B9" s="19" t="s">
        <v>72</v>
      </c>
      <c r="C9" s="20">
        <v>-3.0499999999999999E-2</v>
      </c>
      <c r="D9" s="21">
        <v>-3.55</v>
      </c>
    </row>
    <row r="10" spans="2:8" x14ac:dyDescent="0.3">
      <c r="B10" s="19" t="s">
        <v>73</v>
      </c>
      <c r="C10" s="20">
        <v>-0.14299999999999999</v>
      </c>
      <c r="D10" s="21">
        <v>-10.210000000000001</v>
      </c>
    </row>
    <row r="11" spans="2:8" x14ac:dyDescent="0.3">
      <c r="B11" s="19" t="s">
        <v>74</v>
      </c>
      <c r="C11" s="20">
        <v>-0.29099999999999998</v>
      </c>
      <c r="D11" s="21">
        <v>-4.2699999999999996</v>
      </c>
    </row>
    <row r="12" spans="2:8" x14ac:dyDescent="0.3">
      <c r="B12" s="19" t="s">
        <v>75</v>
      </c>
      <c r="C12" s="20">
        <v>-1.37E-2</v>
      </c>
      <c r="D12" s="21">
        <v>-1.84</v>
      </c>
    </row>
    <row r="13" spans="2:8" x14ac:dyDescent="0.3">
      <c r="B13" s="19" t="s">
        <v>58</v>
      </c>
      <c r="C13" s="20">
        <v>0.49399999999999999</v>
      </c>
      <c r="D13" s="21">
        <v>5.04</v>
      </c>
    </row>
    <row r="14" spans="2:8" x14ac:dyDescent="0.3">
      <c r="B14" s="19" t="s">
        <v>59</v>
      </c>
      <c r="C14" s="25">
        <v>0.29199999999999998</v>
      </c>
      <c r="D14" s="26">
        <v>5.77</v>
      </c>
    </row>
    <row r="15" spans="2:8" x14ac:dyDescent="0.3">
      <c r="B15" s="57" t="s">
        <v>15</v>
      </c>
      <c r="C15" s="20">
        <v>7.8899999999999998E-2</v>
      </c>
      <c r="D15" s="23">
        <v>-59.45</v>
      </c>
    </row>
    <row r="16" spans="2:8" x14ac:dyDescent="0.3">
      <c r="B16" s="55" t="s">
        <v>60</v>
      </c>
      <c r="C16" s="123">
        <v>1724</v>
      </c>
      <c r="D16" s="124"/>
    </row>
    <row r="17" spans="2:4" x14ac:dyDescent="0.3">
      <c r="B17" s="56" t="s">
        <v>11</v>
      </c>
      <c r="C17" s="121">
        <v>0.25</v>
      </c>
      <c r="D17" s="122"/>
    </row>
    <row r="19" spans="2:4" ht="15" thickBot="1" x14ac:dyDescent="0.35">
      <c r="B19" s="16" t="s">
        <v>76</v>
      </c>
      <c r="C19" s="17" t="s">
        <v>1</v>
      </c>
      <c r="D19" s="18" t="s">
        <v>12</v>
      </c>
    </row>
    <row r="20" spans="2:4" ht="15" thickTop="1" x14ac:dyDescent="0.3">
      <c r="B20" s="19" t="s">
        <v>77</v>
      </c>
      <c r="C20" s="22">
        <v>0</v>
      </c>
      <c r="D20" s="23"/>
    </row>
    <row r="21" spans="2:4" x14ac:dyDescent="0.3">
      <c r="B21" s="19" t="s">
        <v>78</v>
      </c>
      <c r="C21" s="22">
        <v>-1.22</v>
      </c>
      <c r="D21" s="23">
        <v>-1.79</v>
      </c>
    </row>
    <row r="22" spans="2:4" x14ac:dyDescent="0.3">
      <c r="B22" s="24" t="s">
        <v>79</v>
      </c>
      <c r="C22" s="27">
        <v>-1.98</v>
      </c>
      <c r="D22" s="28">
        <v>-4.8</v>
      </c>
    </row>
    <row r="23" spans="2:4" x14ac:dyDescent="0.3">
      <c r="B23" s="58" t="s">
        <v>216</v>
      </c>
    </row>
    <row r="24" spans="2:4" x14ac:dyDescent="0.3">
      <c r="B24" s="125" t="s">
        <v>80</v>
      </c>
      <c r="C24" s="126"/>
      <c r="D24" s="126"/>
    </row>
  </sheetData>
  <mergeCells count="3">
    <mergeCell ref="C16:D16"/>
    <mergeCell ref="C17:D17"/>
    <mergeCell ref="B24:D2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E5A9-BAD3-44B5-986F-37ADAE844495}">
  <dimension ref="B2:H25"/>
  <sheetViews>
    <sheetView zoomScale="75" zoomScaleNormal="75" workbookViewId="0">
      <selection activeCell="C8" sqref="C8:C12"/>
    </sheetView>
  </sheetViews>
  <sheetFormatPr defaultRowHeight="14.4" x14ac:dyDescent="0.3"/>
  <cols>
    <col min="2" max="2" width="56.5546875" customWidth="1"/>
    <col min="3" max="3" width="10.5546875" customWidth="1"/>
    <col min="4" max="4" width="11.6640625" customWidth="1"/>
    <col min="6" max="6" width="24.33203125" customWidth="1"/>
    <col min="7" max="7" width="16.33203125" customWidth="1"/>
    <col min="8" max="8" width="10" customWidth="1"/>
  </cols>
  <sheetData>
    <row r="2" spans="2:8" ht="15" thickBot="1" x14ac:dyDescent="0.35">
      <c r="B2" s="13" t="s">
        <v>9</v>
      </c>
      <c r="C2" s="14" t="s">
        <v>1</v>
      </c>
      <c r="D2" s="15" t="s">
        <v>12</v>
      </c>
      <c r="F2" s="16" t="s">
        <v>13</v>
      </c>
      <c r="G2" s="17" t="s">
        <v>14</v>
      </c>
      <c r="H2" s="18" t="s">
        <v>12</v>
      </c>
    </row>
    <row r="3" spans="2:8" ht="15" thickTop="1" x14ac:dyDescent="0.3">
      <c r="B3" s="19" t="s">
        <v>66</v>
      </c>
      <c r="C3" s="20">
        <v>3.63</v>
      </c>
      <c r="D3" s="21">
        <v>8.91</v>
      </c>
      <c r="F3" s="19" t="s">
        <v>218</v>
      </c>
      <c r="G3" s="22">
        <v>0.11600000000000001</v>
      </c>
      <c r="H3" s="23">
        <v>-28.13</v>
      </c>
    </row>
    <row r="4" spans="2:8" x14ac:dyDescent="0.3">
      <c r="B4" s="19" t="s">
        <v>67</v>
      </c>
      <c r="C4" s="20">
        <v>0.92500000000000004</v>
      </c>
      <c r="D4" s="21">
        <v>2</v>
      </c>
      <c r="F4" s="19" t="s">
        <v>219</v>
      </c>
      <c r="G4" s="22">
        <v>1</v>
      </c>
      <c r="H4" s="23"/>
    </row>
    <row r="5" spans="2:8" x14ac:dyDescent="0.3">
      <c r="B5" s="19" t="s">
        <v>68</v>
      </c>
      <c r="C5" s="20">
        <v>3.9</v>
      </c>
      <c r="D5" s="21">
        <v>8.86</v>
      </c>
      <c r="F5" s="19" t="s">
        <v>62</v>
      </c>
      <c r="G5" s="22">
        <v>0.35</v>
      </c>
      <c r="H5" s="23">
        <v>-6.8</v>
      </c>
    </row>
    <row r="6" spans="2:8" x14ac:dyDescent="0.3">
      <c r="B6" s="19" t="s">
        <v>69</v>
      </c>
      <c r="C6" s="20">
        <v>1.65</v>
      </c>
      <c r="D6" s="21">
        <v>3.38</v>
      </c>
      <c r="F6" s="19" t="s">
        <v>220</v>
      </c>
      <c r="G6" s="22">
        <v>0.95499999999999996</v>
      </c>
      <c r="H6" s="23"/>
    </row>
    <row r="7" spans="2:8" x14ac:dyDescent="0.3">
      <c r="B7" s="24" t="s">
        <v>70</v>
      </c>
      <c r="C7" s="25">
        <v>0.63900000000000001</v>
      </c>
      <c r="D7" s="26">
        <v>1.38</v>
      </c>
      <c r="F7" s="19" t="s">
        <v>221</v>
      </c>
      <c r="G7" s="22">
        <v>1</v>
      </c>
      <c r="H7" s="23"/>
    </row>
    <row r="8" spans="2:8" x14ac:dyDescent="0.3">
      <c r="B8" s="19" t="s">
        <v>71</v>
      </c>
      <c r="C8" s="20">
        <v>-7.6499999999999999E-2</v>
      </c>
      <c r="D8" s="21">
        <v>-9.51</v>
      </c>
      <c r="F8" s="24" t="s">
        <v>55</v>
      </c>
      <c r="G8" s="27">
        <v>0.54400000000000004</v>
      </c>
      <c r="H8" s="28">
        <v>-6.69</v>
      </c>
    </row>
    <row r="9" spans="2:8" x14ac:dyDescent="0.3">
      <c r="B9" s="19" t="s">
        <v>72</v>
      </c>
      <c r="C9" s="20">
        <v>-4.6600000000000003E-2</v>
      </c>
      <c r="D9" s="21">
        <v>-5.51</v>
      </c>
    </row>
    <row r="10" spans="2:8" x14ac:dyDescent="0.3">
      <c r="B10" s="19" t="s">
        <v>73</v>
      </c>
      <c r="C10" s="20">
        <v>-0.14399999999999999</v>
      </c>
      <c r="D10" s="21">
        <v>-10.55</v>
      </c>
    </row>
    <row r="11" spans="2:8" x14ac:dyDescent="0.3">
      <c r="B11" s="19" t="s">
        <v>74</v>
      </c>
      <c r="C11" s="20">
        <v>-0.3</v>
      </c>
      <c r="D11" s="21">
        <v>-2.98</v>
      </c>
    </row>
    <row r="12" spans="2:8" x14ac:dyDescent="0.3">
      <c r="B12" s="19" t="s">
        <v>75</v>
      </c>
      <c r="C12" s="20">
        <v>-1.3899999999999999E-2</v>
      </c>
      <c r="D12" s="21">
        <v>-4.29</v>
      </c>
    </row>
    <row r="13" spans="2:8" x14ac:dyDescent="0.3">
      <c r="B13" s="19" t="s">
        <v>217</v>
      </c>
      <c r="C13" s="20">
        <v>-1.8100000000000002E-2</v>
      </c>
      <c r="D13" s="21">
        <v>-5.76</v>
      </c>
    </row>
    <row r="14" spans="2:8" x14ac:dyDescent="0.3">
      <c r="B14" s="19" t="s">
        <v>58</v>
      </c>
      <c r="C14" s="20">
        <v>5.8299999999999998E-2</v>
      </c>
      <c r="D14" s="21">
        <v>1.1200000000000001</v>
      </c>
    </row>
    <row r="15" spans="2:8" x14ac:dyDescent="0.3">
      <c r="B15" s="19" t="s">
        <v>59</v>
      </c>
      <c r="C15" s="25">
        <v>4.8800000000000003E-2</v>
      </c>
      <c r="D15" s="26">
        <v>1</v>
      </c>
    </row>
    <row r="16" spans="2:8" x14ac:dyDescent="0.3">
      <c r="B16" s="57" t="s">
        <v>15</v>
      </c>
      <c r="C16" s="20">
        <v>0.17399999999999999</v>
      </c>
      <c r="D16" s="23">
        <v>-52.65</v>
      </c>
    </row>
    <row r="17" spans="2:4" x14ac:dyDescent="0.3">
      <c r="B17" s="55" t="s">
        <v>60</v>
      </c>
      <c r="C17" s="123">
        <v>1751</v>
      </c>
      <c r="D17" s="124"/>
    </row>
    <row r="18" spans="2:4" x14ac:dyDescent="0.3">
      <c r="B18" s="56" t="s">
        <v>11</v>
      </c>
      <c r="C18" s="121">
        <v>0.248</v>
      </c>
      <c r="D18" s="122"/>
    </row>
    <row r="20" spans="2:4" ht="15" thickBot="1" x14ac:dyDescent="0.35">
      <c r="B20" s="16" t="s">
        <v>76</v>
      </c>
      <c r="C20" s="17" t="s">
        <v>1</v>
      </c>
      <c r="D20" s="18" t="s">
        <v>12</v>
      </c>
    </row>
    <row r="21" spans="2:4" ht="15" thickTop="1" x14ac:dyDescent="0.3">
      <c r="B21" s="19" t="s">
        <v>77</v>
      </c>
      <c r="C21" s="22">
        <v>0</v>
      </c>
      <c r="D21" s="23"/>
    </row>
    <row r="22" spans="2:4" x14ac:dyDescent="0.3">
      <c r="B22" s="19" t="s">
        <v>78</v>
      </c>
      <c r="C22" s="22">
        <v>-1.92</v>
      </c>
      <c r="D22" s="23">
        <v>-2.3199999999999998</v>
      </c>
    </row>
    <row r="23" spans="2:4" x14ac:dyDescent="0.3">
      <c r="B23" s="24" t="s">
        <v>79</v>
      </c>
      <c r="C23" s="27">
        <v>1.07</v>
      </c>
      <c r="D23" s="28">
        <v>1.17</v>
      </c>
    </row>
    <row r="24" spans="2:4" x14ac:dyDescent="0.3">
      <c r="B24" s="58" t="s">
        <v>216</v>
      </c>
    </row>
    <row r="25" spans="2:4" x14ac:dyDescent="0.3">
      <c r="B25" s="125" t="s">
        <v>222</v>
      </c>
      <c r="C25" s="126"/>
      <c r="D25" s="126"/>
    </row>
  </sheetData>
  <mergeCells count="3">
    <mergeCell ref="C17:D17"/>
    <mergeCell ref="C18:D18"/>
    <mergeCell ref="B25:D2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364B-E73C-43B7-B100-F54127CA7F11}">
  <dimension ref="B2:H20"/>
  <sheetViews>
    <sheetView topLeftCell="A3" zoomScale="150" zoomScaleNormal="150" workbookViewId="0">
      <selection activeCell="C5" sqref="C5"/>
    </sheetView>
  </sheetViews>
  <sheetFormatPr defaultRowHeight="14.4" x14ac:dyDescent="0.3"/>
  <cols>
    <col min="2" max="2" width="50.109375" customWidth="1"/>
    <col min="3" max="3" width="18.109375" customWidth="1"/>
    <col min="4" max="4" width="12.5546875" customWidth="1"/>
    <col min="6" max="6" width="22" customWidth="1"/>
    <col min="7" max="7" width="16.33203125" customWidth="1"/>
    <col min="8" max="8" width="10" customWidth="1"/>
  </cols>
  <sheetData>
    <row r="2" spans="2:8" ht="15" thickBot="1" x14ac:dyDescent="0.35">
      <c r="B2" s="13" t="s">
        <v>9</v>
      </c>
      <c r="C2" s="14" t="s">
        <v>1</v>
      </c>
      <c r="D2" s="15" t="s">
        <v>12</v>
      </c>
      <c r="F2" s="16" t="s">
        <v>13</v>
      </c>
      <c r="G2" s="17" t="s">
        <v>14</v>
      </c>
      <c r="H2" s="18" t="s">
        <v>12</v>
      </c>
    </row>
    <row r="3" spans="2:8" ht="15" thickTop="1" x14ac:dyDescent="0.3">
      <c r="B3" s="19" t="s">
        <v>167</v>
      </c>
      <c r="C3" s="20">
        <v>-0.17299999999999999</v>
      </c>
      <c r="D3" s="21">
        <v>-0.61</v>
      </c>
      <c r="F3" s="19" t="s">
        <v>165</v>
      </c>
      <c r="G3" s="22">
        <v>1</v>
      </c>
      <c r="H3" s="23"/>
    </row>
    <row r="4" spans="2:8" x14ac:dyDescent="0.3">
      <c r="B4" s="24" t="s">
        <v>168</v>
      </c>
      <c r="C4" s="25">
        <v>-1.34</v>
      </c>
      <c r="D4" s="26">
        <v>-8.2899999999999991</v>
      </c>
      <c r="F4" s="19" t="s">
        <v>164</v>
      </c>
      <c r="G4" s="22">
        <v>0.88</v>
      </c>
      <c r="H4" s="23">
        <v>-2.06</v>
      </c>
    </row>
    <row r="5" spans="2:8" x14ac:dyDescent="0.3">
      <c r="B5" s="19" t="s">
        <v>81</v>
      </c>
      <c r="C5" s="20">
        <v>-3.15E-2</v>
      </c>
      <c r="D5" s="21">
        <v>-8.6999999999999993</v>
      </c>
      <c r="F5" s="24" t="s">
        <v>55</v>
      </c>
      <c r="G5" s="27">
        <v>0.89800000000000002</v>
      </c>
      <c r="H5" s="28">
        <v>-2.98</v>
      </c>
    </row>
    <row r="6" spans="2:8" x14ac:dyDescent="0.3">
      <c r="B6" s="19" t="s">
        <v>166</v>
      </c>
      <c r="C6" s="20">
        <v>0.44500000000000001</v>
      </c>
      <c r="D6" s="21">
        <v>1.38</v>
      </c>
    </row>
    <row r="7" spans="2:8" x14ac:dyDescent="0.3">
      <c r="B7" s="19" t="s">
        <v>85</v>
      </c>
      <c r="C7" s="20">
        <v>1.01</v>
      </c>
      <c r="D7" s="21">
        <v>11.26</v>
      </c>
    </row>
    <row r="8" spans="2:8" x14ac:dyDescent="0.3">
      <c r="B8" s="19" t="s">
        <v>58</v>
      </c>
      <c r="C8" s="20">
        <v>0.85099999999999998</v>
      </c>
      <c r="D8" s="21">
        <v>10.1</v>
      </c>
    </row>
    <row r="9" spans="2:8" x14ac:dyDescent="0.3">
      <c r="B9" s="19" t="s">
        <v>59</v>
      </c>
      <c r="C9" s="20">
        <v>1.7</v>
      </c>
      <c r="D9" s="21">
        <v>21.19</v>
      </c>
    </row>
    <row r="10" spans="2:8" x14ac:dyDescent="0.3">
      <c r="B10" s="24" t="s">
        <v>82</v>
      </c>
      <c r="C10" s="25">
        <v>1.26E-2</v>
      </c>
      <c r="D10" s="26">
        <v>1.69</v>
      </c>
    </row>
    <row r="11" spans="2:8" x14ac:dyDescent="0.3">
      <c r="B11" s="19" t="s">
        <v>15</v>
      </c>
      <c r="C11" s="20">
        <v>0.69399999999999995</v>
      </c>
      <c r="D11" s="23">
        <v>-12.69</v>
      </c>
    </row>
    <row r="12" spans="2:8" x14ac:dyDescent="0.3">
      <c r="B12" s="55" t="s">
        <v>60</v>
      </c>
      <c r="C12" s="123">
        <v>1826</v>
      </c>
      <c r="D12" s="124"/>
    </row>
    <row r="13" spans="2:8" x14ac:dyDescent="0.3">
      <c r="B13" s="56" t="s">
        <v>11</v>
      </c>
      <c r="C13" s="121">
        <v>0.122</v>
      </c>
      <c r="D13" s="122"/>
    </row>
    <row r="15" spans="2:8" ht="15" thickBot="1" x14ac:dyDescent="0.35">
      <c r="B15" s="16" t="s">
        <v>76</v>
      </c>
      <c r="C15" s="17" t="s">
        <v>1</v>
      </c>
      <c r="D15" s="18" t="s">
        <v>12</v>
      </c>
    </row>
    <row r="16" spans="2:8" ht="15" thickTop="1" x14ac:dyDescent="0.3">
      <c r="B16" s="19" t="s">
        <v>79</v>
      </c>
      <c r="C16" s="22">
        <v>0</v>
      </c>
      <c r="D16" s="23"/>
    </row>
    <row r="17" spans="2:4" x14ac:dyDescent="0.3">
      <c r="B17" s="19" t="s">
        <v>78</v>
      </c>
      <c r="C17" s="22">
        <v>-1.37</v>
      </c>
      <c r="D17" s="23">
        <v>-5.81</v>
      </c>
    </row>
    <row r="18" spans="2:4" x14ac:dyDescent="0.3">
      <c r="B18" s="24" t="s">
        <v>83</v>
      </c>
      <c r="C18" s="27">
        <v>-3.61</v>
      </c>
      <c r="D18" s="28">
        <v>-4.87</v>
      </c>
    </row>
    <row r="19" spans="2:4" x14ac:dyDescent="0.3">
      <c r="B19" s="58" t="s">
        <v>216</v>
      </c>
    </row>
    <row r="20" spans="2:4" x14ac:dyDescent="0.3">
      <c r="B20" s="125" t="s">
        <v>84</v>
      </c>
      <c r="C20" s="126"/>
      <c r="D20" s="126"/>
    </row>
  </sheetData>
  <mergeCells count="3">
    <mergeCell ref="C12:D12"/>
    <mergeCell ref="C13:D13"/>
    <mergeCell ref="B20:D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4659-215B-4D6E-9069-64A045194F77}">
  <dimension ref="B2:H22"/>
  <sheetViews>
    <sheetView zoomScale="150" zoomScaleNormal="150" workbookViewId="0">
      <selection activeCell="C9" sqref="C9:C13"/>
    </sheetView>
  </sheetViews>
  <sheetFormatPr defaultRowHeight="14.4" x14ac:dyDescent="0.3"/>
  <cols>
    <col min="2" max="2" width="47.5546875" customWidth="1"/>
    <col min="3" max="3" width="18.109375" customWidth="1"/>
    <col min="4" max="4" width="12.5546875" customWidth="1"/>
    <col min="6" max="6" width="17.44140625" customWidth="1"/>
    <col min="7" max="7" width="16.33203125" customWidth="1"/>
    <col min="8" max="8" width="10" customWidth="1"/>
  </cols>
  <sheetData>
    <row r="2" spans="2:8" ht="15" thickBot="1" x14ac:dyDescent="0.35">
      <c r="B2" s="13" t="s">
        <v>9</v>
      </c>
      <c r="C2" s="14" t="s">
        <v>1</v>
      </c>
      <c r="D2" s="15" t="s">
        <v>12</v>
      </c>
      <c r="F2" s="16" t="s">
        <v>13</v>
      </c>
      <c r="G2" s="17" t="s">
        <v>14</v>
      </c>
      <c r="H2" s="18" t="s">
        <v>12</v>
      </c>
    </row>
    <row r="3" spans="2:8" ht="15" thickTop="1" x14ac:dyDescent="0.3">
      <c r="B3" s="19" t="s">
        <v>167</v>
      </c>
      <c r="C3" s="20">
        <v>1.26</v>
      </c>
      <c r="D3" s="21">
        <v>3.55</v>
      </c>
      <c r="F3" s="19" t="s">
        <v>165</v>
      </c>
      <c r="G3" s="22">
        <v>0.57099999999999995</v>
      </c>
      <c r="H3" s="23">
        <v>-0.9</v>
      </c>
    </row>
    <row r="4" spans="2:8" x14ac:dyDescent="0.3">
      <c r="B4" s="24" t="s">
        <v>168</v>
      </c>
      <c r="C4" s="25">
        <v>-0.82699999999999996</v>
      </c>
      <c r="D4" s="26">
        <v>-1.23</v>
      </c>
      <c r="F4" s="19" t="s">
        <v>164</v>
      </c>
      <c r="G4" s="22">
        <v>0.99199999999999999</v>
      </c>
      <c r="H4" s="23">
        <v>-0.05</v>
      </c>
    </row>
    <row r="5" spans="2:8" x14ac:dyDescent="0.3">
      <c r="B5" s="19" t="s">
        <v>56</v>
      </c>
      <c r="C5" s="20">
        <v>-6.83E-2</v>
      </c>
      <c r="D5" s="21">
        <v>-6.55</v>
      </c>
      <c r="F5" s="24" t="s">
        <v>55</v>
      </c>
      <c r="G5" s="27">
        <v>1</v>
      </c>
      <c r="H5" s="28"/>
    </row>
    <row r="6" spans="2:8" x14ac:dyDescent="0.3">
      <c r="B6" s="19" t="s">
        <v>86</v>
      </c>
      <c r="C6" s="20">
        <v>-2.8000000000000001E-2</v>
      </c>
      <c r="D6" s="21">
        <v>-4.24</v>
      </c>
    </row>
    <row r="7" spans="2:8" x14ac:dyDescent="0.3">
      <c r="B7" s="19" t="s">
        <v>166</v>
      </c>
      <c r="C7" s="20">
        <v>1.59</v>
      </c>
      <c r="D7" s="21">
        <v>3.73</v>
      </c>
    </row>
    <row r="8" spans="2:8" x14ac:dyDescent="0.3">
      <c r="B8" s="19" t="s">
        <v>172</v>
      </c>
      <c r="C8" s="20">
        <v>1.1399999999999999</v>
      </c>
      <c r="D8" s="21">
        <v>4.03</v>
      </c>
    </row>
    <row r="9" spans="2:8" x14ac:dyDescent="0.3">
      <c r="B9" s="19" t="s">
        <v>10</v>
      </c>
      <c r="C9" s="20">
        <v>0.127</v>
      </c>
      <c r="D9" s="21">
        <v>1.24</v>
      </c>
    </row>
    <row r="10" spans="2:8" x14ac:dyDescent="0.3">
      <c r="B10" s="19" t="s">
        <v>87</v>
      </c>
      <c r="C10" s="20">
        <v>0.26</v>
      </c>
      <c r="D10" s="21">
        <v>2.73</v>
      </c>
    </row>
    <row r="11" spans="2:8" x14ac:dyDescent="0.3">
      <c r="B11" s="19" t="s">
        <v>59</v>
      </c>
      <c r="C11" s="20">
        <v>0.35499999999999998</v>
      </c>
      <c r="D11" s="21">
        <v>5.28</v>
      </c>
    </row>
    <row r="12" spans="2:8" x14ac:dyDescent="0.3">
      <c r="B12" s="24" t="s">
        <v>82</v>
      </c>
      <c r="C12" s="25">
        <v>6.0100000000000001E-2</v>
      </c>
      <c r="D12" s="26">
        <v>6.46</v>
      </c>
    </row>
    <row r="13" spans="2:8" x14ac:dyDescent="0.3">
      <c r="B13" s="19" t="s">
        <v>15</v>
      </c>
      <c r="C13" s="20">
        <v>0.57499999999999996</v>
      </c>
      <c r="D13" s="23">
        <v>-10.33</v>
      </c>
    </row>
    <row r="14" spans="2:8" x14ac:dyDescent="0.3">
      <c r="B14" s="55" t="s">
        <v>60</v>
      </c>
      <c r="C14" s="123">
        <v>939</v>
      </c>
      <c r="D14" s="124"/>
    </row>
    <row r="15" spans="2:8" x14ac:dyDescent="0.3">
      <c r="B15" s="56" t="s">
        <v>11</v>
      </c>
      <c r="C15" s="121">
        <v>0.10199999999999999</v>
      </c>
      <c r="D15" s="122"/>
    </row>
    <row r="17" spans="2:4" ht="15" thickBot="1" x14ac:dyDescent="0.35">
      <c r="B17" s="16" t="s">
        <v>76</v>
      </c>
      <c r="C17" s="17" t="s">
        <v>1</v>
      </c>
      <c r="D17" s="18" t="s">
        <v>12</v>
      </c>
    </row>
    <row r="18" spans="2:4" ht="15" thickTop="1" x14ac:dyDescent="0.3">
      <c r="B18" s="19" t="s">
        <v>88</v>
      </c>
      <c r="C18" s="22">
        <v>0</v>
      </c>
      <c r="D18" s="23"/>
    </row>
    <row r="19" spans="2:4" x14ac:dyDescent="0.3">
      <c r="B19" s="19" t="s">
        <v>78</v>
      </c>
      <c r="C19" s="22">
        <v>-1.41</v>
      </c>
      <c r="D19" s="23">
        <v>-6.52</v>
      </c>
    </row>
    <row r="20" spans="2:4" x14ac:dyDescent="0.3">
      <c r="B20" s="19" t="s">
        <v>79</v>
      </c>
      <c r="C20" s="27">
        <v>-0.73299999999999998</v>
      </c>
      <c r="D20" s="28">
        <v>-4.62</v>
      </c>
    </row>
    <row r="21" spans="2:4" x14ac:dyDescent="0.3">
      <c r="B21" s="58" t="s">
        <v>216</v>
      </c>
    </row>
    <row r="22" spans="2:4" x14ac:dyDescent="0.3">
      <c r="B22" s="125" t="s">
        <v>89</v>
      </c>
      <c r="C22" s="126"/>
      <c r="D22" s="126"/>
    </row>
  </sheetData>
  <mergeCells count="3">
    <mergeCell ref="C14:D14"/>
    <mergeCell ref="C15:D15"/>
    <mergeCell ref="B22: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76CF-6E80-4BDB-B42D-4925EDAAF16E}">
  <dimension ref="B2:K21"/>
  <sheetViews>
    <sheetView workbookViewId="0">
      <selection activeCell="B23" sqref="B23"/>
    </sheetView>
  </sheetViews>
  <sheetFormatPr defaultRowHeight="14.4" x14ac:dyDescent="0.3"/>
  <cols>
    <col min="2" max="2" width="53.88671875" customWidth="1"/>
    <col min="3" max="3" width="12.109375" customWidth="1"/>
    <col min="4" max="4" width="10.33203125" customWidth="1"/>
    <col min="5" max="5" width="8.44140625" customWidth="1"/>
    <col min="6" max="6" width="6.88671875" customWidth="1"/>
    <col min="7" max="7" width="7.44140625" customWidth="1"/>
    <col min="8" max="9" width="6.33203125" customWidth="1"/>
    <col min="10" max="10" width="7.33203125" customWidth="1"/>
    <col min="11" max="11" width="6.109375" customWidth="1"/>
  </cols>
  <sheetData>
    <row r="2" spans="2:11" x14ac:dyDescent="0.3">
      <c r="B2" s="129" t="s">
        <v>0</v>
      </c>
      <c r="C2" s="112" t="s">
        <v>1</v>
      </c>
      <c r="D2" s="114" t="s">
        <v>2</v>
      </c>
      <c r="E2" s="106" t="s">
        <v>124</v>
      </c>
      <c r="F2" s="128"/>
      <c r="G2" s="128"/>
      <c r="H2" s="128"/>
      <c r="I2" s="128"/>
      <c r="J2" s="128"/>
      <c r="K2" s="128"/>
    </row>
    <row r="3" spans="2:11" ht="15" thickBot="1" x14ac:dyDescent="0.35">
      <c r="B3" s="130"/>
      <c r="C3" s="113"/>
      <c r="D3" s="115"/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</row>
    <row r="4" spans="2:11" ht="15" thickTop="1" x14ac:dyDescent="0.3">
      <c r="B4" s="59" t="s">
        <v>97</v>
      </c>
      <c r="C4" s="54">
        <v>-2.15</v>
      </c>
      <c r="D4" s="53">
        <v>-3.74</v>
      </c>
      <c r="E4" s="1" t="s">
        <v>3</v>
      </c>
      <c r="F4" s="1"/>
      <c r="G4" s="1"/>
      <c r="H4" s="1"/>
      <c r="I4" s="1"/>
      <c r="J4" s="1"/>
      <c r="K4" s="1"/>
    </row>
    <row r="5" spans="2:11" x14ac:dyDescent="0.3">
      <c r="B5" s="60" t="s">
        <v>98</v>
      </c>
      <c r="C5" s="54">
        <v>-3.6</v>
      </c>
      <c r="D5" s="53">
        <v>-5.62</v>
      </c>
      <c r="E5" s="1"/>
      <c r="F5" s="1" t="s">
        <v>3</v>
      </c>
      <c r="G5" s="1"/>
      <c r="H5" s="1"/>
      <c r="I5" s="1"/>
      <c r="J5" s="1"/>
      <c r="K5" s="1"/>
    </row>
    <row r="6" spans="2:11" x14ac:dyDescent="0.3">
      <c r="B6" s="60" t="s">
        <v>99</v>
      </c>
      <c r="C6" s="54">
        <v>-3.02</v>
      </c>
      <c r="D6" s="53">
        <v>-5.37</v>
      </c>
      <c r="E6" s="1"/>
      <c r="F6" s="1"/>
      <c r="G6" s="1" t="s">
        <v>3</v>
      </c>
      <c r="H6" s="1"/>
      <c r="I6" s="1"/>
      <c r="J6" s="1"/>
      <c r="K6" s="1"/>
    </row>
    <row r="7" spans="2:11" x14ac:dyDescent="0.3">
      <c r="B7" s="60" t="s">
        <v>100</v>
      </c>
      <c r="C7" s="54">
        <v>-0.91100000000000003</v>
      </c>
      <c r="D7" s="53">
        <v>-1.95</v>
      </c>
      <c r="E7" s="1"/>
      <c r="F7" s="1"/>
      <c r="G7" s="1"/>
      <c r="H7" s="1"/>
      <c r="I7" s="1" t="s">
        <v>3</v>
      </c>
      <c r="J7" s="1"/>
      <c r="K7" s="1"/>
    </row>
    <row r="8" spans="2:11" x14ac:dyDescent="0.3">
      <c r="B8" s="60" t="s">
        <v>101</v>
      </c>
      <c r="C8" s="54">
        <v>-3.35</v>
      </c>
      <c r="D8" s="53">
        <v>-2.35</v>
      </c>
      <c r="E8" s="1"/>
      <c r="F8" s="1"/>
      <c r="G8" s="1"/>
      <c r="H8" s="1"/>
      <c r="I8" s="1"/>
      <c r="J8" s="1" t="s">
        <v>3</v>
      </c>
      <c r="K8" s="1"/>
    </row>
    <row r="9" spans="2:11" x14ac:dyDescent="0.3">
      <c r="B9" s="61" t="s">
        <v>102</v>
      </c>
      <c r="C9" s="46">
        <v>-3.65</v>
      </c>
      <c r="D9" s="49">
        <v>-3.9</v>
      </c>
      <c r="E9" s="2"/>
      <c r="F9" s="2"/>
      <c r="G9" s="2"/>
      <c r="H9" s="2"/>
      <c r="I9" s="2"/>
      <c r="J9" s="2"/>
      <c r="K9" s="2" t="s">
        <v>3</v>
      </c>
    </row>
    <row r="10" spans="2:11" x14ac:dyDescent="0.3">
      <c r="B10" s="60" t="s">
        <v>103</v>
      </c>
      <c r="C10" s="48">
        <v>-2.7399999999999998E-3</v>
      </c>
      <c r="D10" s="50">
        <v>-1.38</v>
      </c>
      <c r="E10" s="1" t="s">
        <v>3</v>
      </c>
      <c r="F10" s="1" t="s">
        <v>3</v>
      </c>
      <c r="G10" s="1" t="s">
        <v>3</v>
      </c>
      <c r="H10" s="1"/>
      <c r="I10" s="1"/>
      <c r="J10" s="1"/>
      <c r="K10" s="1"/>
    </row>
    <row r="11" spans="2:11" x14ac:dyDescent="0.3">
      <c r="B11" s="60" t="s">
        <v>104</v>
      </c>
      <c r="C11" s="48">
        <v>-5.2200000000000003E-2</v>
      </c>
      <c r="D11" s="50">
        <v>-1.48</v>
      </c>
      <c r="E11" s="1"/>
      <c r="F11" s="1"/>
      <c r="G11" s="1"/>
      <c r="H11" s="1" t="s">
        <v>3</v>
      </c>
      <c r="I11" s="1"/>
      <c r="J11" s="1"/>
      <c r="K11" s="1"/>
    </row>
    <row r="12" spans="2:11" x14ac:dyDescent="0.3">
      <c r="B12" s="60" t="s">
        <v>105</v>
      </c>
      <c r="C12" s="48">
        <v>-2.0199999999999999E-2</v>
      </c>
      <c r="D12" s="50">
        <v>-1.35</v>
      </c>
      <c r="E12" s="1"/>
      <c r="F12" s="1"/>
      <c r="G12" s="1"/>
      <c r="H12" s="1"/>
      <c r="I12" s="1"/>
      <c r="J12" s="1" t="s">
        <v>3</v>
      </c>
      <c r="K12" s="1"/>
    </row>
    <row r="13" spans="2:11" x14ac:dyDescent="0.3">
      <c r="B13" s="60" t="s">
        <v>106</v>
      </c>
      <c r="C13" s="48">
        <v>-2.7399999999999998E-3</v>
      </c>
      <c r="D13" s="50">
        <v>-1.38</v>
      </c>
      <c r="E13" s="1"/>
      <c r="F13" s="1"/>
      <c r="G13" s="1"/>
      <c r="H13" s="1"/>
      <c r="I13" s="1"/>
      <c r="J13" s="1"/>
      <c r="K13" s="1" t="s">
        <v>3</v>
      </c>
    </row>
    <row r="14" spans="2:11" x14ac:dyDescent="0.3">
      <c r="B14" s="60" t="s">
        <v>107</v>
      </c>
      <c r="C14" s="48">
        <v>0.67100000000000004</v>
      </c>
      <c r="D14" s="50">
        <v>1.65</v>
      </c>
      <c r="E14" s="1" t="s">
        <v>3</v>
      </c>
      <c r="F14" s="1" t="s">
        <v>3</v>
      </c>
      <c r="G14" s="1"/>
      <c r="H14" s="1"/>
      <c r="I14" s="1"/>
      <c r="J14" s="1"/>
      <c r="K14" s="1"/>
    </row>
    <row r="15" spans="2:11" x14ac:dyDescent="0.3">
      <c r="B15" s="60" t="s">
        <v>110</v>
      </c>
      <c r="C15" s="48">
        <v>2.83</v>
      </c>
      <c r="D15" s="50">
        <v>2.4300000000000002</v>
      </c>
      <c r="E15" s="1"/>
      <c r="F15" s="1"/>
      <c r="G15" s="1"/>
      <c r="H15" s="1"/>
      <c r="I15" s="1"/>
      <c r="J15" s="1" t="s">
        <v>3</v>
      </c>
      <c r="K15" s="1"/>
    </row>
    <row r="16" spans="2:11" x14ac:dyDescent="0.3">
      <c r="B16" s="60" t="s">
        <v>108</v>
      </c>
      <c r="C16" s="48">
        <v>1.69</v>
      </c>
      <c r="D16" s="50">
        <v>3.97</v>
      </c>
      <c r="E16" s="1"/>
      <c r="F16" s="1" t="s">
        <v>3</v>
      </c>
      <c r="G16" s="1" t="s">
        <v>3</v>
      </c>
      <c r="H16" s="1"/>
      <c r="I16" s="1"/>
      <c r="J16" s="1"/>
      <c r="K16" s="1"/>
    </row>
    <row r="17" spans="2:11" x14ac:dyDescent="0.3">
      <c r="B17" s="60" t="s">
        <v>109</v>
      </c>
      <c r="C17" s="48">
        <v>-2.7</v>
      </c>
      <c r="D17" s="50">
        <v>-4.63</v>
      </c>
      <c r="E17" s="1"/>
      <c r="F17" s="1"/>
      <c r="G17" s="1"/>
      <c r="H17" s="1" t="s">
        <v>3</v>
      </c>
      <c r="I17" s="1"/>
      <c r="J17" s="1"/>
      <c r="K17" s="1"/>
    </row>
    <row r="18" spans="2:11" x14ac:dyDescent="0.3">
      <c r="B18" s="60" t="s">
        <v>111</v>
      </c>
      <c r="C18" s="48">
        <v>2.59</v>
      </c>
      <c r="D18" s="50">
        <v>3.66</v>
      </c>
      <c r="E18" s="1"/>
      <c r="F18" s="1"/>
      <c r="G18" s="1"/>
      <c r="H18" s="1"/>
      <c r="I18" s="1"/>
      <c r="J18" s="1"/>
      <c r="K18" s="1" t="s">
        <v>3</v>
      </c>
    </row>
    <row r="19" spans="2:11" x14ac:dyDescent="0.3">
      <c r="B19" s="60" t="s">
        <v>87</v>
      </c>
      <c r="C19" s="48">
        <v>3.08</v>
      </c>
      <c r="D19" s="50">
        <v>3</v>
      </c>
      <c r="E19" s="1"/>
      <c r="F19" s="1"/>
      <c r="G19" s="1"/>
      <c r="H19" s="2"/>
      <c r="I19" s="2"/>
      <c r="J19" s="2"/>
      <c r="K19" s="2" t="s">
        <v>3</v>
      </c>
    </row>
    <row r="20" spans="2:11" x14ac:dyDescent="0.3">
      <c r="B20" s="29" t="s">
        <v>32</v>
      </c>
      <c r="C20" s="131">
        <v>180</v>
      </c>
      <c r="D20" s="132"/>
      <c r="E20" s="132"/>
      <c r="F20" s="132"/>
      <c r="G20" s="132"/>
      <c r="H20" s="132"/>
      <c r="I20" s="132"/>
      <c r="J20" s="132"/>
      <c r="K20" s="132"/>
    </row>
    <row r="21" spans="2:11" x14ac:dyDescent="0.3">
      <c r="B21" s="62" t="s">
        <v>11</v>
      </c>
      <c r="C21" s="127">
        <v>0.26200000000000001</v>
      </c>
      <c r="D21" s="126"/>
      <c r="E21" s="126"/>
      <c r="F21" s="126"/>
      <c r="G21" s="126"/>
      <c r="H21" s="126"/>
      <c r="I21" s="126"/>
      <c r="J21" s="126"/>
      <c r="K21" s="126"/>
    </row>
  </sheetData>
  <mergeCells count="6">
    <mergeCell ref="C21:K21"/>
    <mergeCell ref="E2:K2"/>
    <mergeCell ref="B2:B3"/>
    <mergeCell ref="C2:C3"/>
    <mergeCell ref="D2:D3"/>
    <mergeCell ref="C20:K20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EBF1-EC0A-4E37-B22D-D42EBAC55276}">
  <dimension ref="B2:K25"/>
  <sheetViews>
    <sheetView workbookViewId="0">
      <selection activeCell="B32" sqref="B32"/>
    </sheetView>
  </sheetViews>
  <sheetFormatPr defaultRowHeight="14.4" x14ac:dyDescent="0.3"/>
  <cols>
    <col min="2" max="2" width="53.88671875" customWidth="1"/>
    <col min="3" max="3" width="12.109375" customWidth="1"/>
    <col min="4" max="4" width="10.33203125" customWidth="1"/>
    <col min="5" max="5" width="8" customWidth="1"/>
    <col min="6" max="6" width="7.33203125" customWidth="1"/>
    <col min="7" max="7" width="7" customWidth="1"/>
    <col min="8" max="8" width="5.33203125" customWidth="1"/>
    <col min="9" max="9" width="7.6640625" customWidth="1"/>
    <col min="10" max="10" width="7" customWidth="1"/>
  </cols>
  <sheetData>
    <row r="2" spans="2:11" x14ac:dyDescent="0.3">
      <c r="B2" s="129" t="s">
        <v>0</v>
      </c>
      <c r="C2" s="112" t="s">
        <v>1</v>
      </c>
      <c r="D2" s="114" t="s">
        <v>2</v>
      </c>
      <c r="E2" s="106" t="s">
        <v>123</v>
      </c>
      <c r="F2" s="128"/>
      <c r="G2" s="128"/>
      <c r="H2" s="128"/>
      <c r="I2" s="128"/>
      <c r="J2" s="128"/>
      <c r="K2" s="128"/>
    </row>
    <row r="3" spans="2:11" ht="15" thickBot="1" x14ac:dyDescent="0.35">
      <c r="B3" s="130"/>
      <c r="C3" s="113"/>
      <c r="D3" s="115"/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</row>
    <row r="4" spans="2:11" ht="15" thickTop="1" x14ac:dyDescent="0.3">
      <c r="B4" s="59" t="s">
        <v>97</v>
      </c>
      <c r="C4" s="54">
        <v>-0.30299999999999999</v>
      </c>
      <c r="D4" s="53">
        <v>-1.4</v>
      </c>
      <c r="E4" s="1" t="s">
        <v>3</v>
      </c>
      <c r="F4" s="1"/>
      <c r="G4" s="1"/>
      <c r="H4" s="1"/>
      <c r="I4" s="1"/>
      <c r="J4" s="1"/>
      <c r="K4" s="1"/>
    </row>
    <row r="5" spans="2:11" x14ac:dyDescent="0.3">
      <c r="B5" s="60" t="s">
        <v>98</v>
      </c>
      <c r="C5" s="54">
        <v>-1.77</v>
      </c>
      <c r="D5" s="53">
        <v>-8.02</v>
      </c>
      <c r="E5" s="1"/>
      <c r="F5" s="1" t="s">
        <v>3</v>
      </c>
      <c r="G5" s="1"/>
      <c r="H5" s="1"/>
      <c r="I5" s="1"/>
      <c r="J5" s="1"/>
      <c r="K5" s="1"/>
    </row>
    <row r="6" spans="2:11" x14ac:dyDescent="0.3">
      <c r="B6" s="60" t="s">
        <v>99</v>
      </c>
      <c r="C6" s="54">
        <v>-2.0099999999999998</v>
      </c>
      <c r="D6" s="53">
        <v>-8.02</v>
      </c>
      <c r="E6" s="1"/>
      <c r="F6" s="1"/>
      <c r="G6" s="1" t="s">
        <v>3</v>
      </c>
      <c r="H6" s="1"/>
      <c r="I6" s="1"/>
      <c r="J6" s="1"/>
      <c r="K6" s="1"/>
    </row>
    <row r="7" spans="2:11" x14ac:dyDescent="0.3">
      <c r="B7" s="60" t="s">
        <v>100</v>
      </c>
      <c r="C7" s="54">
        <v>-1.1299999999999999</v>
      </c>
      <c r="D7" s="53">
        <v>-5.3</v>
      </c>
      <c r="E7" s="1"/>
      <c r="F7" s="1"/>
      <c r="G7" s="1"/>
      <c r="H7" s="1"/>
      <c r="I7" s="1" t="s">
        <v>3</v>
      </c>
      <c r="J7" s="1"/>
      <c r="K7" s="1"/>
    </row>
    <row r="8" spans="2:11" x14ac:dyDescent="0.3">
      <c r="B8" s="60" t="s">
        <v>101</v>
      </c>
      <c r="C8" s="54">
        <v>-2.59</v>
      </c>
      <c r="D8" s="53">
        <v>-1.4</v>
      </c>
      <c r="E8" s="1"/>
      <c r="F8" s="1"/>
      <c r="G8" s="1"/>
      <c r="H8" s="1"/>
      <c r="I8" s="1"/>
      <c r="J8" s="1" t="s">
        <v>3</v>
      </c>
      <c r="K8" s="1"/>
    </row>
    <row r="9" spans="2:11" x14ac:dyDescent="0.3">
      <c r="B9" s="61" t="s">
        <v>102</v>
      </c>
      <c r="C9" s="46">
        <v>1.21</v>
      </c>
      <c r="D9" s="49">
        <v>4.24</v>
      </c>
      <c r="E9" s="2"/>
      <c r="F9" s="2"/>
      <c r="G9" s="2"/>
      <c r="H9" s="2"/>
      <c r="I9" s="2"/>
      <c r="J9" s="2"/>
      <c r="K9" s="2" t="s">
        <v>3</v>
      </c>
    </row>
    <row r="10" spans="2:11" x14ac:dyDescent="0.3">
      <c r="B10" s="60" t="s">
        <v>103</v>
      </c>
      <c r="C10" s="48">
        <v>-2.29E-2</v>
      </c>
      <c r="D10" s="50">
        <v>-12.5</v>
      </c>
      <c r="E10" s="1" t="s">
        <v>3</v>
      </c>
      <c r="F10" s="1" t="s">
        <v>3</v>
      </c>
      <c r="G10" s="1" t="s">
        <v>3</v>
      </c>
      <c r="H10" s="1"/>
      <c r="I10" s="1" t="s">
        <v>3</v>
      </c>
      <c r="J10" s="1"/>
      <c r="K10" s="1"/>
    </row>
    <row r="11" spans="2:11" x14ac:dyDescent="0.3">
      <c r="B11" s="60" t="s">
        <v>104</v>
      </c>
      <c r="C11" s="48">
        <v>-5.45E-2</v>
      </c>
      <c r="D11" s="50">
        <v>-7.64</v>
      </c>
      <c r="E11" s="1"/>
      <c r="F11" s="1"/>
      <c r="G11" s="1"/>
      <c r="H11" s="1" t="s">
        <v>3</v>
      </c>
      <c r="I11" s="1"/>
      <c r="J11" s="1"/>
      <c r="K11" s="1"/>
    </row>
    <row r="12" spans="2:11" x14ac:dyDescent="0.3">
      <c r="B12" s="60" t="s">
        <v>105</v>
      </c>
      <c r="C12" s="63">
        <v>-6.6699999999999997E-6</v>
      </c>
      <c r="D12" s="50">
        <v>-1.57</v>
      </c>
      <c r="E12" s="1"/>
      <c r="F12" s="1"/>
      <c r="G12" s="1"/>
      <c r="H12" s="1"/>
      <c r="I12" s="1"/>
      <c r="J12" s="1" t="s">
        <v>3</v>
      </c>
      <c r="K12" s="1"/>
    </row>
    <row r="13" spans="2:11" x14ac:dyDescent="0.3">
      <c r="B13" s="60" t="s">
        <v>106</v>
      </c>
      <c r="C13" s="48">
        <v>-2.29E-2</v>
      </c>
      <c r="D13" s="50">
        <v>-12.5</v>
      </c>
      <c r="E13" s="1"/>
      <c r="F13" s="1"/>
      <c r="G13" s="1"/>
      <c r="H13" s="1"/>
      <c r="I13" s="1"/>
      <c r="J13" s="1"/>
      <c r="K13" s="1" t="s">
        <v>3</v>
      </c>
    </row>
    <row r="14" spans="2:11" x14ac:dyDescent="0.3">
      <c r="B14" s="60" t="s">
        <v>112</v>
      </c>
      <c r="C14" s="48">
        <v>1.88</v>
      </c>
      <c r="D14" s="50">
        <v>10.89</v>
      </c>
      <c r="E14" s="1"/>
      <c r="F14" s="1" t="s">
        <v>3</v>
      </c>
      <c r="G14" s="1" t="s">
        <v>3</v>
      </c>
      <c r="H14" s="1"/>
      <c r="I14" s="1"/>
      <c r="J14" s="1"/>
      <c r="K14" s="1"/>
    </row>
    <row r="15" spans="2:11" x14ac:dyDescent="0.3">
      <c r="B15" s="60" t="s">
        <v>115</v>
      </c>
      <c r="C15" s="48">
        <v>1.35</v>
      </c>
      <c r="D15" s="50">
        <v>7.08</v>
      </c>
      <c r="E15" s="1"/>
      <c r="F15" s="1"/>
      <c r="G15" s="1" t="s">
        <v>3</v>
      </c>
      <c r="H15" s="1"/>
      <c r="I15" s="1"/>
      <c r="J15" s="1"/>
      <c r="K15" s="1"/>
    </row>
    <row r="16" spans="2:11" x14ac:dyDescent="0.3">
      <c r="B16" s="60" t="s">
        <v>113</v>
      </c>
      <c r="C16" s="48">
        <v>-0.45</v>
      </c>
      <c r="D16" s="50">
        <v>-2.0699999999999998</v>
      </c>
      <c r="E16" s="1"/>
      <c r="F16" s="1"/>
      <c r="G16" s="1"/>
      <c r="H16" s="1" t="s">
        <v>3</v>
      </c>
      <c r="I16" s="1"/>
      <c r="J16" s="1"/>
      <c r="K16" s="1"/>
    </row>
    <row r="17" spans="2:11" x14ac:dyDescent="0.3">
      <c r="B17" s="60" t="s">
        <v>114</v>
      </c>
      <c r="C17" s="48">
        <v>-1.57</v>
      </c>
      <c r="D17" s="50">
        <v>-6.01</v>
      </c>
      <c r="E17" s="1"/>
      <c r="F17" s="1"/>
      <c r="G17" s="1"/>
      <c r="H17" s="1" t="s">
        <v>3</v>
      </c>
      <c r="I17" s="1"/>
      <c r="J17" s="1"/>
      <c r="K17" s="1"/>
    </row>
    <row r="18" spans="2:11" x14ac:dyDescent="0.3">
      <c r="B18" s="60" t="s">
        <v>116</v>
      </c>
      <c r="C18" s="48">
        <v>-2.72</v>
      </c>
      <c r="D18" s="50">
        <v>-7.93</v>
      </c>
      <c r="E18" s="1"/>
      <c r="F18" s="1"/>
      <c r="G18" s="1"/>
      <c r="H18" s="1"/>
      <c r="I18" s="1"/>
      <c r="J18" s="1" t="s">
        <v>3</v>
      </c>
      <c r="K18" s="1"/>
    </row>
    <row r="19" spans="2:11" x14ac:dyDescent="0.3">
      <c r="B19" s="60" t="s">
        <v>120</v>
      </c>
      <c r="C19" s="48">
        <v>2.61</v>
      </c>
      <c r="D19" s="50">
        <v>9.0399999999999991</v>
      </c>
      <c r="E19" s="1"/>
      <c r="F19" s="1"/>
      <c r="G19" s="1"/>
      <c r="H19" s="1"/>
      <c r="I19" s="1"/>
      <c r="J19" s="1" t="s">
        <v>3</v>
      </c>
      <c r="K19" s="1"/>
    </row>
    <row r="20" spans="2:11" x14ac:dyDescent="0.3">
      <c r="B20" s="60" t="s">
        <v>111</v>
      </c>
      <c r="C20" s="48">
        <v>0.57999999999999996</v>
      </c>
      <c r="D20" s="50">
        <v>2.2799999999999998</v>
      </c>
      <c r="E20" s="1"/>
      <c r="F20" s="1"/>
      <c r="G20" s="1"/>
      <c r="H20" s="1"/>
      <c r="I20" s="1"/>
      <c r="J20" s="1"/>
      <c r="K20" s="1" t="s">
        <v>3</v>
      </c>
    </row>
    <row r="21" spans="2:11" x14ac:dyDescent="0.3">
      <c r="B21" s="60" t="s">
        <v>117</v>
      </c>
      <c r="C21" s="48">
        <v>1.26</v>
      </c>
      <c r="D21" s="50">
        <v>6.53</v>
      </c>
      <c r="E21" s="1"/>
      <c r="F21" s="1"/>
      <c r="G21" s="1"/>
      <c r="H21" s="1"/>
      <c r="I21" s="1"/>
      <c r="J21" s="1"/>
      <c r="K21" s="1" t="s">
        <v>3</v>
      </c>
    </row>
    <row r="22" spans="2:11" x14ac:dyDescent="0.3">
      <c r="B22" s="60" t="s">
        <v>118</v>
      </c>
      <c r="C22" s="48">
        <v>1.18</v>
      </c>
      <c r="D22" s="50">
        <v>5.15</v>
      </c>
      <c r="E22" s="1"/>
      <c r="F22" s="1"/>
      <c r="G22" s="1"/>
      <c r="H22" s="1"/>
      <c r="I22" s="1"/>
      <c r="J22" s="1"/>
      <c r="K22" s="1" t="s">
        <v>3</v>
      </c>
    </row>
    <row r="23" spans="2:11" x14ac:dyDescent="0.3">
      <c r="B23" s="60" t="s">
        <v>119</v>
      </c>
      <c r="C23" s="48">
        <v>0.33100000000000002</v>
      </c>
      <c r="D23" s="50">
        <v>1.39</v>
      </c>
      <c r="E23" s="1"/>
      <c r="F23" s="1"/>
      <c r="G23" s="1"/>
      <c r="H23" s="2"/>
      <c r="I23" s="2"/>
      <c r="J23" s="2"/>
      <c r="K23" s="2" t="s">
        <v>3</v>
      </c>
    </row>
    <row r="24" spans="2:11" x14ac:dyDescent="0.3">
      <c r="B24" s="29" t="s">
        <v>32</v>
      </c>
      <c r="C24" s="131">
        <v>1767</v>
      </c>
      <c r="D24" s="132"/>
      <c r="E24" s="132"/>
      <c r="F24" s="132"/>
      <c r="G24" s="132"/>
      <c r="H24" s="132"/>
      <c r="I24" s="132"/>
      <c r="J24" s="132"/>
      <c r="K24" s="132"/>
    </row>
    <row r="25" spans="2:11" x14ac:dyDescent="0.3">
      <c r="B25" s="62" t="s">
        <v>11</v>
      </c>
      <c r="C25" s="127">
        <v>0.433</v>
      </c>
      <c r="D25" s="126"/>
      <c r="E25" s="126"/>
      <c r="F25" s="126"/>
      <c r="G25" s="126"/>
      <c r="H25" s="126"/>
      <c r="I25" s="126"/>
      <c r="J25" s="126"/>
      <c r="K25" s="126"/>
    </row>
  </sheetData>
  <mergeCells count="6">
    <mergeCell ref="C25:K25"/>
    <mergeCell ref="B2:B3"/>
    <mergeCell ref="C2:C3"/>
    <mergeCell ref="D2:D3"/>
    <mergeCell ref="E2:K2"/>
    <mergeCell ref="C24:K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E5F3-D945-42BE-B503-95A3610BFC3D}">
  <dimension ref="B2:K24"/>
  <sheetViews>
    <sheetView workbookViewId="0">
      <selection activeCell="E32" sqref="E32"/>
    </sheetView>
  </sheetViews>
  <sheetFormatPr defaultRowHeight="14.4" x14ac:dyDescent="0.3"/>
  <cols>
    <col min="2" max="2" width="53.88671875" customWidth="1"/>
    <col min="3" max="3" width="12.109375" customWidth="1"/>
    <col min="4" max="4" width="10.33203125" customWidth="1"/>
    <col min="5" max="5" width="7.33203125" customWidth="1"/>
    <col min="6" max="6" width="8" customWidth="1"/>
    <col min="7" max="7" width="8.109375" customWidth="1"/>
    <col min="8" max="8" width="6.44140625" customWidth="1"/>
    <col min="9" max="9" width="7.5546875" customWidth="1"/>
    <col min="10" max="10" width="6.44140625" customWidth="1"/>
  </cols>
  <sheetData>
    <row r="2" spans="2:11" x14ac:dyDescent="0.3">
      <c r="B2" s="129" t="s">
        <v>0</v>
      </c>
      <c r="C2" s="112" t="s">
        <v>1</v>
      </c>
      <c r="D2" s="114" t="s">
        <v>2</v>
      </c>
      <c r="E2" s="106" t="s">
        <v>122</v>
      </c>
      <c r="F2" s="128"/>
      <c r="G2" s="128"/>
      <c r="H2" s="128"/>
      <c r="I2" s="128"/>
      <c r="J2" s="128"/>
      <c r="K2" s="128"/>
    </row>
    <row r="3" spans="2:11" ht="15" thickBot="1" x14ac:dyDescent="0.35">
      <c r="B3" s="130"/>
      <c r="C3" s="113"/>
      <c r="D3" s="115"/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</row>
    <row r="4" spans="2:11" ht="15" thickTop="1" x14ac:dyDescent="0.3">
      <c r="B4" s="59" t="s">
        <v>97</v>
      </c>
      <c r="C4" s="54">
        <v>-0.125</v>
      </c>
      <c r="D4" s="53">
        <v>-0.81</v>
      </c>
      <c r="E4" s="1" t="s">
        <v>3</v>
      </c>
      <c r="F4" s="1"/>
      <c r="G4" s="1"/>
      <c r="H4" s="1"/>
      <c r="I4" s="1"/>
      <c r="J4" s="1"/>
      <c r="K4" s="1"/>
    </row>
    <row r="5" spans="2:11" x14ac:dyDescent="0.3">
      <c r="B5" s="60" t="s">
        <v>98</v>
      </c>
      <c r="C5" s="54">
        <v>-1.84</v>
      </c>
      <c r="D5" s="53">
        <v>-11.2</v>
      </c>
      <c r="E5" s="1"/>
      <c r="F5" s="1" t="s">
        <v>3</v>
      </c>
      <c r="G5" s="1"/>
      <c r="H5" s="1"/>
      <c r="I5" s="1"/>
      <c r="J5" s="1"/>
      <c r="K5" s="1"/>
    </row>
    <row r="6" spans="2:11" x14ac:dyDescent="0.3">
      <c r="B6" s="60" t="s">
        <v>99</v>
      </c>
      <c r="C6" s="54">
        <v>-1.6</v>
      </c>
      <c r="D6" s="53">
        <v>-8.5500000000000007</v>
      </c>
      <c r="E6" s="1"/>
      <c r="F6" s="1"/>
      <c r="G6" s="1" t="s">
        <v>3</v>
      </c>
      <c r="H6" s="1"/>
      <c r="I6" s="1"/>
      <c r="J6" s="1"/>
      <c r="K6" s="1"/>
    </row>
    <row r="7" spans="2:11" x14ac:dyDescent="0.3">
      <c r="B7" s="60" t="s">
        <v>100</v>
      </c>
      <c r="C7" s="54">
        <v>-0.70799999999999996</v>
      </c>
      <c r="D7" s="53">
        <v>-5.01</v>
      </c>
      <c r="E7" s="1"/>
      <c r="F7" s="1"/>
      <c r="G7" s="1"/>
      <c r="H7" s="1"/>
      <c r="I7" s="1" t="s">
        <v>3</v>
      </c>
      <c r="J7" s="1"/>
      <c r="K7" s="1"/>
    </row>
    <row r="8" spans="2:11" x14ac:dyDescent="0.3">
      <c r="B8" s="60" t="s">
        <v>101</v>
      </c>
      <c r="C8" s="54">
        <v>-1.1200000000000001</v>
      </c>
      <c r="D8" s="53">
        <v>-5.05</v>
      </c>
      <c r="E8" s="1"/>
      <c r="F8" s="1"/>
      <c r="G8" s="1"/>
      <c r="H8" s="1"/>
      <c r="I8" s="1"/>
      <c r="J8" s="1" t="s">
        <v>3</v>
      </c>
      <c r="K8" s="1"/>
    </row>
    <row r="9" spans="2:11" x14ac:dyDescent="0.3">
      <c r="B9" s="61" t="s">
        <v>102</v>
      </c>
      <c r="C9" s="46">
        <v>0.48199999999999998</v>
      </c>
      <c r="D9" s="49">
        <v>2.4900000000000002</v>
      </c>
      <c r="E9" s="2"/>
      <c r="F9" s="2"/>
      <c r="G9" s="2"/>
      <c r="H9" s="2"/>
      <c r="I9" s="2"/>
      <c r="J9" s="2"/>
      <c r="K9" s="2" t="s">
        <v>3</v>
      </c>
    </row>
    <row r="10" spans="2:11" x14ac:dyDescent="0.3">
      <c r="B10" s="60" t="s">
        <v>103</v>
      </c>
      <c r="C10" s="48">
        <v>-1.3299999999999999E-2</v>
      </c>
      <c r="D10" s="50">
        <v>-12</v>
      </c>
      <c r="E10" s="1" t="s">
        <v>3</v>
      </c>
      <c r="F10" s="1" t="s">
        <v>3</v>
      </c>
      <c r="G10" s="1" t="s">
        <v>3</v>
      </c>
      <c r="H10" s="1"/>
      <c r="I10" s="1"/>
      <c r="J10" s="1"/>
      <c r="K10" s="1"/>
    </row>
    <row r="11" spans="2:11" x14ac:dyDescent="0.3">
      <c r="B11" s="60" t="s">
        <v>104</v>
      </c>
      <c r="C11" s="48">
        <v>-4.5900000000000003E-2</v>
      </c>
      <c r="D11" s="50">
        <v>-6.85</v>
      </c>
      <c r="E11" s="1"/>
      <c r="F11" s="1"/>
      <c r="G11" s="1"/>
      <c r="H11" s="1" t="s">
        <v>3</v>
      </c>
      <c r="I11" s="1"/>
      <c r="J11" s="1"/>
      <c r="K11" s="1"/>
    </row>
    <row r="12" spans="2:11" x14ac:dyDescent="0.3">
      <c r="B12" s="60" t="s">
        <v>105</v>
      </c>
      <c r="C12" s="63">
        <v>-1.34E-5</v>
      </c>
      <c r="D12" s="50">
        <v>-3.06</v>
      </c>
      <c r="E12" s="1"/>
      <c r="F12" s="1"/>
      <c r="G12" s="1"/>
      <c r="H12" s="1"/>
      <c r="I12" s="1"/>
      <c r="J12" s="1" t="s">
        <v>3</v>
      </c>
      <c r="K12" s="1"/>
    </row>
    <row r="13" spans="2:11" x14ac:dyDescent="0.3">
      <c r="B13" s="60" t="s">
        <v>106</v>
      </c>
      <c r="C13" s="48">
        <v>-1.3299999999999999E-2</v>
      </c>
      <c r="D13" s="50">
        <v>-12</v>
      </c>
      <c r="E13" s="1"/>
      <c r="F13" s="1"/>
      <c r="G13" s="1"/>
      <c r="H13" s="1"/>
      <c r="I13" s="1"/>
      <c r="J13" s="1"/>
      <c r="K13" s="1" t="s">
        <v>3</v>
      </c>
    </row>
    <row r="14" spans="2:11" x14ac:dyDescent="0.3">
      <c r="B14" s="60" t="s">
        <v>112</v>
      </c>
      <c r="C14" s="48">
        <v>2.38</v>
      </c>
      <c r="D14" s="50">
        <v>13.66</v>
      </c>
      <c r="E14" s="1"/>
      <c r="F14" s="1" t="s">
        <v>3</v>
      </c>
      <c r="G14" s="1" t="s">
        <v>3</v>
      </c>
      <c r="H14" s="1"/>
      <c r="I14" s="1"/>
      <c r="J14" s="1"/>
      <c r="K14" s="1"/>
    </row>
    <row r="15" spans="2:11" x14ac:dyDescent="0.3">
      <c r="B15" s="60" t="s">
        <v>115</v>
      </c>
      <c r="C15" s="48">
        <v>0.61</v>
      </c>
      <c r="D15" s="50">
        <v>3.22</v>
      </c>
      <c r="E15" s="1"/>
      <c r="F15" s="1"/>
      <c r="G15" s="1" t="s">
        <v>3</v>
      </c>
      <c r="H15" s="1"/>
      <c r="I15" s="1"/>
      <c r="J15" s="1"/>
      <c r="K15" s="1"/>
    </row>
    <row r="16" spans="2:11" x14ac:dyDescent="0.3">
      <c r="B16" s="60" t="s">
        <v>114</v>
      </c>
      <c r="C16" s="48">
        <v>-0.98599999999999999</v>
      </c>
      <c r="D16" s="50">
        <v>-5.23</v>
      </c>
      <c r="E16" s="1"/>
      <c r="F16" s="1"/>
      <c r="G16" s="1"/>
      <c r="H16" s="1" t="s">
        <v>3</v>
      </c>
      <c r="I16" s="1"/>
      <c r="J16" s="1"/>
      <c r="K16" s="1"/>
    </row>
    <row r="17" spans="2:11" x14ac:dyDescent="0.3">
      <c r="B17" s="60" t="s">
        <v>116</v>
      </c>
      <c r="C17" s="48">
        <v>-2.19</v>
      </c>
      <c r="D17" s="50">
        <v>-7.22</v>
      </c>
      <c r="E17" s="1"/>
      <c r="F17" s="1"/>
      <c r="G17" s="1"/>
      <c r="H17" s="1"/>
      <c r="I17" s="1"/>
      <c r="J17" s="1" t="s">
        <v>3</v>
      </c>
      <c r="K17" s="1"/>
    </row>
    <row r="18" spans="2:11" x14ac:dyDescent="0.3">
      <c r="B18" s="60" t="s">
        <v>120</v>
      </c>
      <c r="C18" s="48">
        <v>0.94299999999999995</v>
      </c>
      <c r="D18" s="50">
        <v>4.34</v>
      </c>
      <c r="E18" s="1"/>
      <c r="F18" s="1"/>
      <c r="G18" s="1"/>
      <c r="H18" s="1"/>
      <c r="I18" s="1"/>
      <c r="J18" s="1" t="s">
        <v>3</v>
      </c>
      <c r="K18" s="1"/>
    </row>
    <row r="19" spans="2:11" x14ac:dyDescent="0.3">
      <c r="B19" s="60" t="s">
        <v>35</v>
      </c>
      <c r="C19" s="48">
        <v>-0.81799999999999995</v>
      </c>
      <c r="D19" s="50">
        <v>-2.25</v>
      </c>
      <c r="E19" s="1"/>
      <c r="F19" s="1"/>
      <c r="G19" s="1"/>
      <c r="H19" s="1"/>
      <c r="I19" s="1"/>
      <c r="J19" s="1" t="s">
        <v>3</v>
      </c>
      <c r="K19" s="1"/>
    </row>
    <row r="20" spans="2:11" x14ac:dyDescent="0.3">
      <c r="B20" s="60" t="s">
        <v>111</v>
      </c>
      <c r="C20" s="48">
        <v>1.39</v>
      </c>
      <c r="D20" s="50">
        <v>8.5500000000000007</v>
      </c>
      <c r="E20" s="1"/>
      <c r="F20" s="1"/>
      <c r="G20" s="1"/>
      <c r="H20" s="1"/>
      <c r="I20" s="1"/>
      <c r="J20" s="1"/>
      <c r="K20" s="1" t="s">
        <v>3</v>
      </c>
    </row>
    <row r="21" spans="2:11" x14ac:dyDescent="0.3">
      <c r="B21" s="60" t="s">
        <v>117</v>
      </c>
      <c r="C21" s="48">
        <v>1.25</v>
      </c>
      <c r="D21" s="50">
        <v>7.58</v>
      </c>
      <c r="E21" s="1"/>
      <c r="F21" s="1"/>
      <c r="G21" s="1"/>
      <c r="H21" s="1"/>
      <c r="I21" s="1"/>
      <c r="J21" s="1"/>
      <c r="K21" s="1" t="s">
        <v>3</v>
      </c>
    </row>
    <row r="22" spans="2:11" x14ac:dyDescent="0.3">
      <c r="B22" s="60" t="s">
        <v>118</v>
      </c>
      <c r="C22" s="48">
        <v>1.06</v>
      </c>
      <c r="D22" s="50">
        <v>5.36</v>
      </c>
      <c r="E22" s="1"/>
      <c r="F22" s="1"/>
      <c r="G22" s="1"/>
      <c r="H22" s="1"/>
      <c r="I22" s="1"/>
      <c r="J22" s="1"/>
      <c r="K22" s="1" t="s">
        <v>3</v>
      </c>
    </row>
    <row r="23" spans="2:11" x14ac:dyDescent="0.3">
      <c r="B23" s="29" t="s">
        <v>32</v>
      </c>
      <c r="C23" s="131">
        <v>1867</v>
      </c>
      <c r="D23" s="132"/>
      <c r="E23" s="132"/>
      <c r="F23" s="132"/>
      <c r="G23" s="132"/>
      <c r="H23" s="132"/>
      <c r="I23" s="132"/>
      <c r="J23" s="132"/>
      <c r="K23" s="132"/>
    </row>
    <row r="24" spans="2:11" x14ac:dyDescent="0.3">
      <c r="B24" s="62" t="s">
        <v>11</v>
      </c>
      <c r="C24" s="127">
        <v>0.35</v>
      </c>
      <c r="D24" s="126"/>
      <c r="E24" s="126"/>
      <c r="F24" s="126"/>
      <c r="G24" s="126"/>
      <c r="H24" s="126"/>
      <c r="I24" s="126"/>
      <c r="J24" s="126"/>
      <c r="K24" s="126"/>
    </row>
  </sheetData>
  <mergeCells count="6">
    <mergeCell ref="C24:K24"/>
    <mergeCell ref="B2:B3"/>
    <mergeCell ref="C2:C3"/>
    <mergeCell ref="D2:D3"/>
    <mergeCell ref="E2:K2"/>
    <mergeCell ref="C23:K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9137-6A6B-4D68-838C-DF8284B043A1}">
  <dimension ref="B2:K25"/>
  <sheetViews>
    <sheetView workbookViewId="0">
      <selection activeCell="C34" sqref="C34"/>
    </sheetView>
  </sheetViews>
  <sheetFormatPr defaultRowHeight="14.4" x14ac:dyDescent="0.3"/>
  <cols>
    <col min="2" max="2" width="53.88671875" customWidth="1"/>
    <col min="3" max="3" width="12.109375" customWidth="1"/>
    <col min="4" max="4" width="10.33203125" customWidth="1"/>
    <col min="5" max="5" width="7.88671875" customWidth="1"/>
    <col min="6" max="6" width="9" customWidth="1"/>
    <col min="7" max="7" width="7.6640625" customWidth="1"/>
    <col min="8" max="8" width="7.109375" customWidth="1"/>
    <col min="9" max="9" width="7.5546875" customWidth="1"/>
    <col min="10" max="10" width="8.5546875" customWidth="1"/>
  </cols>
  <sheetData>
    <row r="2" spans="2:11" x14ac:dyDescent="0.3">
      <c r="B2" s="129" t="s">
        <v>0</v>
      </c>
      <c r="C2" s="112" t="s">
        <v>1</v>
      </c>
      <c r="D2" s="114" t="s">
        <v>2</v>
      </c>
      <c r="E2" s="106" t="s">
        <v>125</v>
      </c>
      <c r="F2" s="128"/>
      <c r="G2" s="128"/>
      <c r="H2" s="128"/>
      <c r="I2" s="128"/>
      <c r="J2" s="128"/>
      <c r="K2" s="128"/>
    </row>
    <row r="3" spans="2:11" ht="15" thickBot="1" x14ac:dyDescent="0.35">
      <c r="B3" s="130"/>
      <c r="C3" s="113"/>
      <c r="D3" s="115"/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</row>
    <row r="4" spans="2:11" ht="15" thickTop="1" x14ac:dyDescent="0.3">
      <c r="B4" s="59" t="s">
        <v>97</v>
      </c>
      <c r="C4" s="54">
        <v>-0.65300000000000002</v>
      </c>
      <c r="D4" s="53">
        <v>-2.78</v>
      </c>
      <c r="E4" s="1" t="s">
        <v>3</v>
      </c>
      <c r="F4" s="1"/>
      <c r="G4" s="1"/>
      <c r="H4" s="1"/>
      <c r="I4" s="1"/>
      <c r="J4" s="1"/>
      <c r="K4" s="1"/>
    </row>
    <row r="5" spans="2:11" x14ac:dyDescent="0.3">
      <c r="B5" s="60" t="s">
        <v>98</v>
      </c>
      <c r="C5" s="54">
        <v>-2.0699999999999998</v>
      </c>
      <c r="D5" s="53">
        <v>-8.68</v>
      </c>
      <c r="E5" s="1"/>
      <c r="F5" s="1" t="s">
        <v>3</v>
      </c>
      <c r="G5" s="1"/>
      <c r="H5" s="1"/>
      <c r="I5" s="1"/>
      <c r="J5" s="1"/>
      <c r="K5" s="1"/>
    </row>
    <row r="6" spans="2:11" x14ac:dyDescent="0.3">
      <c r="B6" s="60" t="s">
        <v>99</v>
      </c>
      <c r="C6" s="54">
        <v>-2.38</v>
      </c>
      <c r="D6" s="53">
        <v>-8.0299999999999994</v>
      </c>
      <c r="E6" s="1"/>
      <c r="F6" s="1"/>
      <c r="G6" s="1" t="s">
        <v>3</v>
      </c>
      <c r="H6" s="1"/>
      <c r="I6" s="1"/>
      <c r="J6" s="1"/>
      <c r="K6" s="1"/>
    </row>
    <row r="7" spans="2:11" x14ac:dyDescent="0.3">
      <c r="B7" s="60" t="s">
        <v>100</v>
      </c>
      <c r="C7" s="54">
        <v>-1.85</v>
      </c>
      <c r="D7" s="53">
        <v>-6.97</v>
      </c>
      <c r="E7" s="1"/>
      <c r="F7" s="1"/>
      <c r="G7" s="1"/>
      <c r="H7" s="1"/>
      <c r="I7" s="1" t="s">
        <v>3</v>
      </c>
      <c r="J7" s="1"/>
      <c r="K7" s="1"/>
    </row>
    <row r="8" spans="2:11" x14ac:dyDescent="0.3">
      <c r="B8" s="60" t="s">
        <v>101</v>
      </c>
      <c r="C8" s="54">
        <v>-1.56</v>
      </c>
      <c r="D8" s="53">
        <v>-4.38</v>
      </c>
      <c r="E8" s="1"/>
      <c r="F8" s="1"/>
      <c r="G8" s="1"/>
      <c r="H8" s="1"/>
      <c r="I8" s="1"/>
      <c r="J8" s="1" t="s">
        <v>3</v>
      </c>
      <c r="K8" s="1"/>
    </row>
    <row r="9" spans="2:11" x14ac:dyDescent="0.3">
      <c r="B9" s="61" t="s">
        <v>102</v>
      </c>
      <c r="C9" s="46">
        <v>0.495</v>
      </c>
      <c r="D9" s="49">
        <v>1.65</v>
      </c>
      <c r="E9" s="2"/>
      <c r="F9" s="2"/>
      <c r="G9" s="2"/>
      <c r="H9" s="2"/>
      <c r="I9" s="2"/>
      <c r="J9" s="2"/>
      <c r="K9" s="2" t="s">
        <v>3</v>
      </c>
    </row>
    <row r="10" spans="2:11" x14ac:dyDescent="0.3">
      <c r="B10" s="60" t="s">
        <v>103</v>
      </c>
      <c r="C10" s="48">
        <v>-3.3599999999999998E-2</v>
      </c>
      <c r="D10" s="50">
        <v>-7.46</v>
      </c>
      <c r="E10" s="1" t="s">
        <v>3</v>
      </c>
      <c r="F10" s="1" t="s">
        <v>3</v>
      </c>
      <c r="G10" s="1" t="s">
        <v>3</v>
      </c>
      <c r="H10" s="1"/>
      <c r="I10" s="1"/>
      <c r="J10" s="1"/>
      <c r="K10" s="1"/>
    </row>
    <row r="11" spans="2:11" x14ac:dyDescent="0.3">
      <c r="B11" s="60" t="s">
        <v>104</v>
      </c>
      <c r="C11" s="48">
        <v>-8.7099999999999997E-2</v>
      </c>
      <c r="D11" s="50">
        <v>-5.65</v>
      </c>
      <c r="E11" s="1"/>
      <c r="F11" s="1"/>
      <c r="G11" s="1"/>
      <c r="H11" s="1" t="s">
        <v>3</v>
      </c>
      <c r="I11" s="1"/>
      <c r="J11" s="1"/>
      <c r="K11" s="1"/>
    </row>
    <row r="12" spans="2:11" x14ac:dyDescent="0.3">
      <c r="B12" s="60" t="s">
        <v>121</v>
      </c>
      <c r="C12" s="48">
        <v>-2.63E-2</v>
      </c>
      <c r="D12" s="50">
        <v>-2.62</v>
      </c>
      <c r="E12" s="1"/>
      <c r="F12" s="1"/>
      <c r="G12" s="1"/>
      <c r="H12" s="1"/>
      <c r="I12" s="1" t="s">
        <v>3</v>
      </c>
      <c r="J12" s="1"/>
      <c r="K12" s="1"/>
    </row>
    <row r="13" spans="2:11" x14ac:dyDescent="0.3">
      <c r="B13" s="60" t="s">
        <v>105</v>
      </c>
      <c r="C13" s="63">
        <v>-2.1999999999999999E-5</v>
      </c>
      <c r="D13" s="50">
        <v>-2.09</v>
      </c>
      <c r="E13" s="1"/>
      <c r="F13" s="1"/>
      <c r="G13" s="1"/>
      <c r="H13" s="1"/>
      <c r="I13" s="1"/>
      <c r="J13" s="1" t="s">
        <v>3</v>
      </c>
      <c r="K13" s="1"/>
    </row>
    <row r="14" spans="2:11" x14ac:dyDescent="0.3">
      <c r="B14" s="60" t="s">
        <v>106</v>
      </c>
      <c r="C14" s="48">
        <v>-3.3599999999999998E-2</v>
      </c>
      <c r="D14" s="50">
        <v>-7.46</v>
      </c>
      <c r="E14" s="1"/>
      <c r="F14" s="1"/>
      <c r="G14" s="1"/>
      <c r="H14" s="1"/>
      <c r="I14" s="1"/>
      <c r="J14" s="1"/>
      <c r="K14" s="1" t="s">
        <v>3</v>
      </c>
    </row>
    <row r="15" spans="2:11" x14ac:dyDescent="0.3">
      <c r="B15" s="60" t="s">
        <v>112</v>
      </c>
      <c r="C15" s="48">
        <v>2</v>
      </c>
      <c r="D15" s="50">
        <v>7.88</v>
      </c>
      <c r="E15" s="1"/>
      <c r="F15" s="1" t="s">
        <v>3</v>
      </c>
      <c r="G15" s="1" t="s">
        <v>3</v>
      </c>
      <c r="H15" s="1"/>
      <c r="I15" s="1"/>
      <c r="J15" s="1"/>
      <c r="K15" s="1"/>
    </row>
    <row r="16" spans="2:11" x14ac:dyDescent="0.3">
      <c r="B16" s="60" t="s">
        <v>115</v>
      </c>
      <c r="C16" s="48">
        <v>1.17</v>
      </c>
      <c r="D16" s="50">
        <v>4.16</v>
      </c>
      <c r="E16" s="1"/>
      <c r="F16" s="1"/>
      <c r="G16" s="1" t="s">
        <v>3</v>
      </c>
      <c r="H16" s="1"/>
      <c r="I16" s="1"/>
      <c r="J16" s="1"/>
      <c r="K16" s="1"/>
    </row>
    <row r="17" spans="2:11" x14ac:dyDescent="0.3">
      <c r="B17" s="60" t="s">
        <v>114</v>
      </c>
      <c r="C17" s="48">
        <v>-2.04</v>
      </c>
      <c r="D17" s="50">
        <v>-6.07</v>
      </c>
      <c r="E17" s="1"/>
      <c r="F17" s="1"/>
      <c r="G17" s="1"/>
      <c r="H17" s="1" t="s">
        <v>3</v>
      </c>
      <c r="I17" s="1"/>
      <c r="J17" s="1"/>
      <c r="K17" s="1"/>
    </row>
    <row r="18" spans="2:11" x14ac:dyDescent="0.3">
      <c r="B18" s="60" t="s">
        <v>116</v>
      </c>
      <c r="C18" s="48">
        <v>-2.62</v>
      </c>
      <c r="D18" s="50">
        <v>-8.6199999999999992</v>
      </c>
      <c r="E18" s="1"/>
      <c r="F18" s="1"/>
      <c r="G18" s="1"/>
      <c r="H18" s="1"/>
      <c r="I18" s="1"/>
      <c r="J18" s="1" t="s">
        <v>3</v>
      </c>
      <c r="K18" s="1"/>
    </row>
    <row r="19" spans="2:11" x14ac:dyDescent="0.3">
      <c r="B19" s="60" t="s">
        <v>120</v>
      </c>
      <c r="C19" s="48">
        <v>1.93</v>
      </c>
      <c r="D19" s="50">
        <v>6.4</v>
      </c>
      <c r="E19" s="1"/>
      <c r="F19" s="1"/>
      <c r="G19" s="1"/>
      <c r="H19" s="1"/>
      <c r="I19" s="1"/>
      <c r="J19" s="1" t="s">
        <v>3</v>
      </c>
      <c r="K19" s="1"/>
    </row>
    <row r="20" spans="2:11" x14ac:dyDescent="0.3">
      <c r="B20" s="60" t="s">
        <v>35</v>
      </c>
      <c r="C20" s="48">
        <v>0.7</v>
      </c>
      <c r="D20" s="50">
        <v>3.46</v>
      </c>
      <c r="E20" s="1"/>
      <c r="F20" s="1"/>
      <c r="G20" s="1"/>
      <c r="H20" s="1"/>
      <c r="I20" s="1"/>
      <c r="J20" s="1" t="s">
        <v>3</v>
      </c>
      <c r="K20" s="1"/>
    </row>
    <row r="21" spans="2:11" x14ac:dyDescent="0.3">
      <c r="B21" s="60" t="s">
        <v>111</v>
      </c>
      <c r="C21" s="48">
        <v>1.3</v>
      </c>
      <c r="D21" s="50">
        <v>4.22</v>
      </c>
      <c r="E21" s="1"/>
      <c r="F21" s="1"/>
      <c r="G21" s="1"/>
      <c r="H21" s="1"/>
      <c r="I21" s="1"/>
      <c r="J21" s="1"/>
      <c r="K21" s="1" t="s">
        <v>3</v>
      </c>
    </row>
    <row r="22" spans="2:11" x14ac:dyDescent="0.3">
      <c r="B22" s="60" t="s">
        <v>117</v>
      </c>
      <c r="C22" s="48">
        <v>1.66</v>
      </c>
      <c r="D22" s="50">
        <v>6.68</v>
      </c>
      <c r="E22" s="1"/>
      <c r="F22" s="1"/>
      <c r="G22" s="1"/>
      <c r="H22" s="1"/>
      <c r="I22" s="1"/>
      <c r="J22" s="1"/>
      <c r="K22" s="1" t="s">
        <v>3</v>
      </c>
    </row>
    <row r="23" spans="2:11" x14ac:dyDescent="0.3">
      <c r="B23" s="60" t="s">
        <v>118</v>
      </c>
      <c r="C23" s="48">
        <v>0.96799999999999997</v>
      </c>
      <c r="D23" s="50">
        <v>3.34</v>
      </c>
      <c r="E23" s="1"/>
      <c r="F23" s="1"/>
      <c r="G23" s="1"/>
      <c r="H23" s="1"/>
      <c r="I23" s="1"/>
      <c r="J23" s="1"/>
      <c r="K23" s="1" t="s">
        <v>3</v>
      </c>
    </row>
    <row r="24" spans="2:11" x14ac:dyDescent="0.3">
      <c r="B24" s="29" t="s">
        <v>32</v>
      </c>
      <c r="C24" s="131">
        <v>946</v>
      </c>
      <c r="D24" s="132"/>
      <c r="E24" s="132"/>
      <c r="F24" s="132"/>
      <c r="G24" s="132"/>
      <c r="H24" s="132"/>
      <c r="I24" s="132"/>
      <c r="J24" s="132"/>
      <c r="K24" s="132"/>
    </row>
    <row r="25" spans="2:11" x14ac:dyDescent="0.3">
      <c r="B25" s="62" t="s">
        <v>11</v>
      </c>
      <c r="C25" s="127">
        <v>0.35699999999999998</v>
      </c>
      <c r="D25" s="126"/>
      <c r="E25" s="126"/>
      <c r="F25" s="126"/>
      <c r="G25" s="126"/>
      <c r="H25" s="126"/>
      <c r="I25" s="126"/>
      <c r="J25" s="126"/>
      <c r="K25" s="126"/>
    </row>
  </sheetData>
  <mergeCells count="6">
    <mergeCell ref="C25:K25"/>
    <mergeCell ref="B2:B3"/>
    <mergeCell ref="C2:C3"/>
    <mergeCell ref="D2:D3"/>
    <mergeCell ref="E2:K2"/>
    <mergeCell ref="C24:K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2D1E-0893-47D4-81DC-E5A770AD07DB}">
  <dimension ref="B2:L10"/>
  <sheetViews>
    <sheetView zoomScale="150" zoomScaleNormal="150" workbookViewId="0">
      <selection activeCell="K16" sqref="K16"/>
    </sheetView>
  </sheetViews>
  <sheetFormatPr defaultRowHeight="14.4" x14ac:dyDescent="0.3"/>
  <cols>
    <col min="2" max="2" width="23.88671875" customWidth="1"/>
    <col min="3" max="3" width="10.33203125" customWidth="1"/>
    <col min="4" max="4" width="9.44140625" customWidth="1"/>
    <col min="5" max="5" width="13.88671875" customWidth="1"/>
    <col min="6" max="6" width="8.88671875" customWidth="1"/>
    <col min="7" max="7" width="8.33203125" customWidth="1"/>
    <col min="8" max="8" width="8" customWidth="1"/>
    <col min="9" max="10" width="8.6640625" customWidth="1"/>
    <col min="11" max="11" width="12.33203125" customWidth="1"/>
    <col min="12" max="12" width="14.6640625" customWidth="1"/>
  </cols>
  <sheetData>
    <row r="2" spans="2:12" x14ac:dyDescent="0.3">
      <c r="B2" s="133" t="s">
        <v>0</v>
      </c>
      <c r="C2" s="135" t="s">
        <v>1</v>
      </c>
      <c r="D2" s="137" t="s">
        <v>2</v>
      </c>
      <c r="E2" s="139" t="s">
        <v>154</v>
      </c>
      <c r="F2" s="139"/>
      <c r="G2" s="139"/>
      <c r="H2" s="139"/>
      <c r="I2" s="139"/>
      <c r="J2" s="139"/>
      <c r="K2" s="139"/>
      <c r="L2" s="139"/>
    </row>
    <row r="3" spans="2:12" ht="15" thickBot="1" x14ac:dyDescent="0.35">
      <c r="B3" s="134"/>
      <c r="C3" s="136"/>
      <c r="D3" s="138"/>
      <c r="E3" s="3" t="s">
        <v>126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127</v>
      </c>
      <c r="L3" s="10" t="s">
        <v>128</v>
      </c>
    </row>
    <row r="4" spans="2:12" ht="15" thickTop="1" x14ac:dyDescent="0.3">
      <c r="B4" s="42" t="s">
        <v>16</v>
      </c>
      <c r="C4" s="12"/>
      <c r="D4" s="4"/>
      <c r="E4" s="34">
        <v>-0.623</v>
      </c>
      <c r="F4" s="34">
        <v>1.69</v>
      </c>
      <c r="G4" s="34">
        <v>2.4300000000000002</v>
      </c>
      <c r="H4" s="34">
        <v>-0.28699999999999998</v>
      </c>
      <c r="I4" s="34">
        <v>0.83899999999999997</v>
      </c>
      <c r="J4" s="34">
        <v>0.72799999999999998</v>
      </c>
      <c r="K4" s="34">
        <v>-0.55900000000000005</v>
      </c>
      <c r="L4" s="43"/>
    </row>
    <row r="5" spans="2:12" x14ac:dyDescent="0.3">
      <c r="B5" s="41" t="s">
        <v>33</v>
      </c>
      <c r="C5" s="8"/>
      <c r="D5" s="6"/>
      <c r="E5" s="37">
        <v>-0.57999999999999996</v>
      </c>
      <c r="F5" s="37">
        <v>4.1100000000000003</v>
      </c>
      <c r="G5" s="37">
        <v>6.14</v>
      </c>
      <c r="H5" s="37">
        <v>-0.49</v>
      </c>
      <c r="I5" s="37">
        <v>1.87</v>
      </c>
      <c r="J5" s="37">
        <v>1.6</v>
      </c>
      <c r="K5" s="37">
        <v>-0.89</v>
      </c>
      <c r="L5" s="44"/>
    </row>
    <row r="6" spans="2:12" x14ac:dyDescent="0.3">
      <c r="B6" s="40" t="s">
        <v>129</v>
      </c>
      <c r="C6" s="7">
        <v>1.07</v>
      </c>
      <c r="D6" s="5">
        <v>0.99</v>
      </c>
      <c r="E6" s="1" t="s">
        <v>3</v>
      </c>
      <c r="F6" s="1"/>
      <c r="G6" s="1"/>
      <c r="H6" s="1"/>
      <c r="I6" s="1"/>
      <c r="J6" s="1"/>
      <c r="K6" s="1"/>
      <c r="L6" s="11"/>
    </row>
    <row r="7" spans="2:12" x14ac:dyDescent="0.3">
      <c r="B7" s="39" t="s">
        <v>170</v>
      </c>
      <c r="C7" s="7">
        <v>2.14</v>
      </c>
      <c r="D7" s="5">
        <v>2.9</v>
      </c>
      <c r="E7" s="1"/>
      <c r="F7" s="1"/>
      <c r="G7" s="1"/>
      <c r="H7" s="1"/>
      <c r="I7" s="1" t="s">
        <v>3</v>
      </c>
      <c r="J7" s="1" t="s">
        <v>3</v>
      </c>
      <c r="K7" s="1"/>
      <c r="L7" s="11"/>
    </row>
    <row r="8" spans="2:12" x14ac:dyDescent="0.3">
      <c r="B8" s="39" t="s">
        <v>130</v>
      </c>
      <c r="C8" s="7">
        <v>-1.1100000000000001</v>
      </c>
      <c r="D8" s="5">
        <v>-1.35</v>
      </c>
      <c r="E8" s="1"/>
      <c r="F8" s="1"/>
      <c r="G8" s="1" t="s">
        <v>3</v>
      </c>
      <c r="H8" s="1" t="s">
        <v>3</v>
      </c>
      <c r="I8" s="1"/>
      <c r="J8" s="1"/>
      <c r="K8" s="1"/>
      <c r="L8" s="11"/>
    </row>
    <row r="9" spans="2:12" x14ac:dyDescent="0.3">
      <c r="B9" s="38" t="s">
        <v>32</v>
      </c>
      <c r="C9" s="140">
        <v>180</v>
      </c>
      <c r="D9" s="141"/>
      <c r="E9" s="141"/>
      <c r="F9" s="141"/>
      <c r="G9" s="141"/>
      <c r="H9" s="141"/>
      <c r="I9" s="141"/>
      <c r="J9" s="141"/>
      <c r="K9" s="141"/>
      <c r="L9" s="141"/>
    </row>
    <row r="10" spans="2:12" x14ac:dyDescent="0.3">
      <c r="B10" s="56" t="s">
        <v>11</v>
      </c>
      <c r="C10" s="121">
        <v>0.223</v>
      </c>
      <c r="D10" s="122"/>
      <c r="E10" s="122"/>
      <c r="F10" s="122"/>
      <c r="G10" s="122"/>
      <c r="H10" s="122"/>
      <c r="I10" s="122"/>
      <c r="J10" s="122"/>
      <c r="K10" s="122"/>
      <c r="L10" s="122"/>
    </row>
  </sheetData>
  <mergeCells count="6">
    <mergeCell ref="B2:B3"/>
    <mergeCell ref="C2:C3"/>
    <mergeCell ref="D2:D3"/>
    <mergeCell ref="E2:L2"/>
    <mergeCell ref="C10:L10"/>
    <mergeCell ref="C9:L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5AC0-4EA5-4F54-B993-B01496087F75}">
  <dimension ref="B2:Q22"/>
  <sheetViews>
    <sheetView zoomScaleNormal="100" workbookViewId="0">
      <selection activeCell="J28" sqref="J28"/>
    </sheetView>
  </sheetViews>
  <sheetFormatPr defaultRowHeight="14.4" x14ac:dyDescent="0.3"/>
  <cols>
    <col min="2" max="2" width="30" customWidth="1"/>
    <col min="3" max="4" width="10.44140625" customWidth="1"/>
    <col min="5" max="5" width="8.6640625" customWidth="1"/>
    <col min="6" max="6" width="9.33203125" customWidth="1"/>
    <col min="7" max="7" width="8.6640625" customWidth="1"/>
    <col min="8" max="8" width="15.109375" customWidth="1"/>
    <col min="9" max="9" width="10" customWidth="1"/>
    <col min="10" max="10" width="9.44140625" customWidth="1"/>
    <col min="11" max="11" width="13.33203125" customWidth="1"/>
    <col min="12" max="12" width="9.44140625" customWidth="1"/>
    <col min="13" max="14" width="8.6640625" customWidth="1"/>
    <col min="15" max="16" width="8.33203125" customWidth="1"/>
    <col min="17" max="17" width="8.6640625" customWidth="1"/>
  </cols>
  <sheetData>
    <row r="2" spans="2:17" x14ac:dyDescent="0.3">
      <c r="B2" s="133" t="s">
        <v>0</v>
      </c>
      <c r="C2" s="135" t="s">
        <v>1</v>
      </c>
      <c r="D2" s="137" t="s">
        <v>2</v>
      </c>
      <c r="E2" s="139" t="s">
        <v>151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</row>
    <row r="3" spans="2:17" ht="15" thickBot="1" x14ac:dyDescent="0.35">
      <c r="B3" s="134"/>
      <c r="C3" s="136"/>
      <c r="D3" s="138"/>
      <c r="E3" s="3" t="s">
        <v>17</v>
      </c>
      <c r="F3" s="3" t="s">
        <v>18</v>
      </c>
      <c r="G3" s="3" t="s">
        <v>19</v>
      </c>
      <c r="H3" s="3" t="s">
        <v>131</v>
      </c>
      <c r="I3" s="3" t="s">
        <v>22</v>
      </c>
      <c r="J3" s="3" t="s">
        <v>23</v>
      </c>
      <c r="K3" s="3" t="s">
        <v>127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5" t="s">
        <v>31</v>
      </c>
    </row>
    <row r="4" spans="2:17" ht="15" thickTop="1" x14ac:dyDescent="0.3">
      <c r="B4" s="42" t="s">
        <v>16</v>
      </c>
      <c r="C4" s="12"/>
      <c r="D4" s="4"/>
      <c r="E4" s="33"/>
      <c r="F4" s="34">
        <v>0.34799999999999998</v>
      </c>
      <c r="G4" s="34">
        <v>3.28</v>
      </c>
      <c r="H4" s="34">
        <v>1.56</v>
      </c>
      <c r="I4" s="34">
        <v>3.78</v>
      </c>
      <c r="J4" s="34">
        <v>3.56</v>
      </c>
      <c r="K4" s="34">
        <v>0.77400000000000002</v>
      </c>
      <c r="L4" s="34">
        <v>1.87</v>
      </c>
      <c r="M4" s="34">
        <v>2.2599999999999998</v>
      </c>
      <c r="N4" s="34">
        <v>3.9600000000000003E-2</v>
      </c>
      <c r="O4" s="34">
        <v>-1.93</v>
      </c>
      <c r="P4" s="34">
        <v>0.51700000000000002</v>
      </c>
      <c r="Q4" s="31">
        <v>-1.63</v>
      </c>
    </row>
    <row r="5" spans="2:17" x14ac:dyDescent="0.3">
      <c r="B5" s="41" t="s">
        <v>33</v>
      </c>
      <c r="C5" s="8"/>
      <c r="D5" s="6"/>
      <c r="E5" s="37"/>
      <c r="F5" s="37">
        <v>0.78</v>
      </c>
      <c r="G5" s="37">
        <v>10.88</v>
      </c>
      <c r="H5" s="37">
        <v>4.75</v>
      </c>
      <c r="I5" s="37">
        <v>12.62</v>
      </c>
      <c r="J5" s="37">
        <v>11.84</v>
      </c>
      <c r="K5" s="37">
        <v>2.04</v>
      </c>
      <c r="L5" s="37">
        <v>5.32</v>
      </c>
      <c r="M5" s="37">
        <v>7.4</v>
      </c>
      <c r="N5" s="37">
        <v>0.1</v>
      </c>
      <c r="O5" s="37">
        <v>-2.4500000000000002</v>
      </c>
      <c r="P5" s="37">
        <v>1.28</v>
      </c>
      <c r="Q5" s="36">
        <v>-2.37</v>
      </c>
    </row>
    <row r="6" spans="2:17" x14ac:dyDescent="0.3">
      <c r="B6" s="40" t="s">
        <v>133</v>
      </c>
      <c r="C6" s="7">
        <v>2.02</v>
      </c>
      <c r="D6" s="5">
        <v>4.59</v>
      </c>
      <c r="E6" s="1" t="s">
        <v>3</v>
      </c>
      <c r="F6" s="1"/>
      <c r="G6" s="1"/>
      <c r="H6" s="1"/>
      <c r="I6" s="1"/>
      <c r="J6" s="1"/>
      <c r="K6" s="1"/>
      <c r="L6" s="1"/>
      <c r="M6" s="1" t="s">
        <v>3</v>
      </c>
      <c r="N6" s="1" t="s">
        <v>3</v>
      </c>
      <c r="O6" s="1" t="s">
        <v>3</v>
      </c>
      <c r="P6" s="1" t="s">
        <v>3</v>
      </c>
      <c r="Q6" s="32" t="s">
        <v>3</v>
      </c>
    </row>
    <row r="7" spans="2:17" x14ac:dyDescent="0.3">
      <c r="B7" s="39" t="s">
        <v>140</v>
      </c>
      <c r="C7" s="7">
        <v>0.61299999999999999</v>
      </c>
      <c r="D7" s="5">
        <v>1.24</v>
      </c>
      <c r="E7" s="1"/>
      <c r="F7" s="1" t="s">
        <v>3</v>
      </c>
      <c r="G7" s="1"/>
      <c r="H7" s="1"/>
      <c r="I7" s="1"/>
      <c r="J7" s="1"/>
      <c r="K7" s="1"/>
      <c r="L7" s="1"/>
      <c r="M7" s="1"/>
      <c r="N7" s="1"/>
      <c r="O7" s="1"/>
      <c r="P7" s="1"/>
      <c r="Q7" s="32"/>
    </row>
    <row r="8" spans="2:17" x14ac:dyDescent="0.3">
      <c r="B8" s="39" t="s">
        <v>132</v>
      </c>
      <c r="C8" s="7">
        <v>0.308</v>
      </c>
      <c r="D8" s="5">
        <v>1.35</v>
      </c>
      <c r="E8" s="1"/>
      <c r="F8" s="1"/>
      <c r="G8" s="1"/>
      <c r="H8" s="1"/>
      <c r="I8" s="1"/>
      <c r="J8" s="1"/>
      <c r="K8" s="1"/>
      <c r="L8" s="1" t="s">
        <v>3</v>
      </c>
      <c r="M8" s="1"/>
      <c r="N8" s="1"/>
      <c r="O8" s="1" t="s">
        <v>3</v>
      </c>
      <c r="P8" s="1"/>
      <c r="Q8" s="32" t="s">
        <v>3</v>
      </c>
    </row>
    <row r="9" spans="2:17" x14ac:dyDescent="0.3">
      <c r="B9" s="39" t="s">
        <v>139</v>
      </c>
      <c r="C9" s="7">
        <v>0.81299999999999994</v>
      </c>
      <c r="D9" s="5">
        <v>1.88</v>
      </c>
      <c r="E9" s="1"/>
      <c r="F9" s="1" t="s">
        <v>3</v>
      </c>
      <c r="G9" s="1"/>
      <c r="H9" s="1"/>
      <c r="I9" s="1"/>
      <c r="J9" s="1"/>
      <c r="K9" s="1"/>
      <c r="L9" s="1"/>
      <c r="M9" s="1"/>
      <c r="N9" s="1"/>
      <c r="O9" s="1"/>
      <c r="P9" s="1"/>
      <c r="Q9" s="32"/>
    </row>
    <row r="10" spans="2:17" x14ac:dyDescent="0.3">
      <c r="B10" s="39" t="s">
        <v>137</v>
      </c>
      <c r="C10" s="7">
        <v>1.98</v>
      </c>
      <c r="D10" s="5">
        <v>2.61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3</v>
      </c>
      <c r="P10" s="1"/>
      <c r="Q10" s="32"/>
    </row>
    <row r="11" spans="2:17" x14ac:dyDescent="0.3">
      <c r="B11" s="39" t="s">
        <v>138</v>
      </c>
      <c r="C11" s="7">
        <v>2.0699999999999998</v>
      </c>
      <c r="D11" s="5">
        <v>3.34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2" t="s">
        <v>3</v>
      </c>
    </row>
    <row r="12" spans="2:17" x14ac:dyDescent="0.3">
      <c r="B12" s="39" t="s">
        <v>134</v>
      </c>
      <c r="C12" s="7">
        <v>0.22700000000000001</v>
      </c>
      <c r="D12" s="5">
        <v>2.0499999999999998</v>
      </c>
      <c r="E12" s="1"/>
      <c r="F12" s="1"/>
      <c r="G12" s="1" t="s">
        <v>3</v>
      </c>
      <c r="H12" s="1"/>
      <c r="I12" s="1" t="s">
        <v>3</v>
      </c>
      <c r="J12" s="1" t="s">
        <v>3</v>
      </c>
      <c r="K12" s="1"/>
      <c r="L12" s="1"/>
      <c r="M12" s="1"/>
      <c r="N12" s="1"/>
      <c r="O12" s="1"/>
      <c r="P12" s="1"/>
      <c r="Q12" s="32"/>
    </row>
    <row r="13" spans="2:17" x14ac:dyDescent="0.3">
      <c r="B13" s="39" t="s">
        <v>135</v>
      </c>
      <c r="C13" s="7">
        <v>0.38600000000000001</v>
      </c>
      <c r="D13" s="5">
        <v>1.0900000000000001</v>
      </c>
      <c r="E13" s="1"/>
      <c r="F13" s="1"/>
      <c r="G13" s="1"/>
      <c r="H13" s="1" t="s">
        <v>3</v>
      </c>
      <c r="I13" s="1"/>
      <c r="J13" s="1"/>
      <c r="K13" s="1"/>
      <c r="L13" s="1"/>
      <c r="M13" s="1"/>
      <c r="N13" s="1"/>
      <c r="O13" s="1"/>
      <c r="P13" s="1"/>
      <c r="Q13" s="32"/>
    </row>
    <row r="14" spans="2:17" x14ac:dyDescent="0.3">
      <c r="B14" s="39" t="s">
        <v>136</v>
      </c>
      <c r="C14" s="7">
        <v>1.1399999999999999</v>
      </c>
      <c r="D14" s="5">
        <v>3.28</v>
      </c>
      <c r="E14" s="1"/>
      <c r="F14" s="1"/>
      <c r="G14" s="1"/>
      <c r="H14" s="1" t="s">
        <v>3</v>
      </c>
      <c r="I14" s="1"/>
      <c r="J14" s="1"/>
      <c r="K14" s="1"/>
      <c r="L14" s="1"/>
      <c r="M14" s="1"/>
      <c r="N14" s="1"/>
      <c r="O14" s="1"/>
      <c r="P14" s="1"/>
      <c r="Q14" s="32"/>
    </row>
    <row r="15" spans="2:17" x14ac:dyDescent="0.3">
      <c r="B15" s="39" t="s">
        <v>160</v>
      </c>
      <c r="C15" s="7">
        <v>0.53700000000000003</v>
      </c>
      <c r="D15" s="5">
        <v>1.41</v>
      </c>
      <c r="E15" s="1"/>
      <c r="F15" s="1"/>
      <c r="G15" s="1"/>
      <c r="H15" s="1"/>
      <c r="I15" s="1"/>
      <c r="J15" s="1"/>
      <c r="K15" s="1" t="s">
        <v>3</v>
      </c>
      <c r="L15" s="1"/>
      <c r="M15" s="1"/>
      <c r="N15" s="1"/>
      <c r="O15" s="1"/>
      <c r="P15" s="1"/>
      <c r="Q15" s="32"/>
    </row>
    <row r="16" spans="2:17" x14ac:dyDescent="0.3">
      <c r="B16" s="39" t="s">
        <v>161</v>
      </c>
      <c r="C16" s="7">
        <v>0.58799999999999997</v>
      </c>
      <c r="D16" s="5">
        <v>1.63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2" t="s">
        <v>3</v>
      </c>
    </row>
    <row r="17" spans="2:17" x14ac:dyDescent="0.3">
      <c r="B17" s="39" t="s">
        <v>149</v>
      </c>
      <c r="C17" s="7">
        <v>0.56999999999999995</v>
      </c>
      <c r="D17" s="5">
        <v>2.4900000000000002</v>
      </c>
      <c r="E17" s="1" t="s">
        <v>3</v>
      </c>
      <c r="F17" s="1"/>
      <c r="G17" s="1"/>
      <c r="H17" s="1"/>
      <c r="I17" s="1"/>
      <c r="J17" s="1"/>
      <c r="K17" s="1"/>
      <c r="L17" s="1"/>
      <c r="M17" s="1"/>
      <c r="N17" s="1"/>
      <c r="O17" s="1" t="s">
        <v>3</v>
      </c>
      <c r="P17" s="1" t="s">
        <v>3</v>
      </c>
      <c r="Q17" s="32" t="s">
        <v>3</v>
      </c>
    </row>
    <row r="18" spans="2:17" x14ac:dyDescent="0.3">
      <c r="B18" s="39" t="s">
        <v>150</v>
      </c>
      <c r="C18" s="7">
        <v>-1.89</v>
      </c>
      <c r="D18" s="5">
        <v>-1.86</v>
      </c>
      <c r="E18" s="1" t="s"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3</v>
      </c>
      <c r="Q18" s="32" t="s">
        <v>3</v>
      </c>
    </row>
    <row r="19" spans="2:17" x14ac:dyDescent="0.3">
      <c r="B19" s="39" t="s">
        <v>147</v>
      </c>
      <c r="C19" s="7">
        <v>0.58599999999999997</v>
      </c>
      <c r="D19" s="5">
        <v>2.56</v>
      </c>
      <c r="E19" s="1"/>
      <c r="F19" s="1"/>
      <c r="G19" s="1"/>
      <c r="H19" s="1"/>
      <c r="I19" s="1"/>
      <c r="J19" s="1"/>
      <c r="K19" s="1"/>
      <c r="L19" s="1" t="s">
        <v>3</v>
      </c>
      <c r="M19" s="1"/>
      <c r="N19" s="1"/>
      <c r="O19" s="1"/>
      <c r="P19" s="1"/>
      <c r="Q19" s="32"/>
    </row>
    <row r="20" spans="2:17" x14ac:dyDescent="0.3">
      <c r="B20" s="39" t="s">
        <v>148</v>
      </c>
      <c r="C20" s="7">
        <v>1.05</v>
      </c>
      <c r="D20" s="5">
        <v>3.24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3</v>
      </c>
      <c r="P20" s="1" t="s">
        <v>3</v>
      </c>
      <c r="Q20" s="32" t="s">
        <v>3</v>
      </c>
    </row>
    <row r="21" spans="2:17" x14ac:dyDescent="0.3">
      <c r="B21" s="38" t="s">
        <v>32</v>
      </c>
      <c r="C21" s="140">
        <v>1788</v>
      </c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</row>
    <row r="22" spans="2:17" x14ac:dyDescent="0.3">
      <c r="B22" s="56" t="s">
        <v>11</v>
      </c>
      <c r="C22" s="121">
        <v>0.27200000000000002</v>
      </c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</row>
  </sheetData>
  <mergeCells count="6">
    <mergeCell ref="C21:Q21"/>
    <mergeCell ref="C22:Q22"/>
    <mergeCell ref="B2:B3"/>
    <mergeCell ref="C2:C3"/>
    <mergeCell ref="D2:D3"/>
    <mergeCell ref="E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7A4E-012D-4F4D-BA75-A88E6A6A03F3}">
  <dimension ref="B2:S21"/>
  <sheetViews>
    <sheetView zoomScaleNormal="100" workbookViewId="0">
      <selection activeCell="F32" sqref="F32"/>
    </sheetView>
  </sheetViews>
  <sheetFormatPr defaultRowHeight="14.4" x14ac:dyDescent="0.3"/>
  <cols>
    <col min="2" max="2" width="31.6640625" customWidth="1"/>
    <col min="3" max="4" width="10.44140625" customWidth="1"/>
    <col min="5" max="5" width="8.6640625" customWidth="1"/>
    <col min="6" max="6" width="10.5546875" customWidth="1"/>
    <col min="7" max="7" width="9.6640625" customWidth="1"/>
    <col min="8" max="8" width="8.44140625" customWidth="1"/>
    <col min="9" max="9" width="12.6640625" customWidth="1"/>
    <col min="10" max="10" width="8.6640625" customWidth="1"/>
    <col min="11" max="13" width="8" customWidth="1"/>
    <col min="14" max="14" width="8.5546875" customWidth="1"/>
    <col min="15" max="15" width="8.88671875" customWidth="1"/>
    <col min="16" max="16" width="7.88671875" customWidth="1"/>
    <col min="17" max="18" width="7.6640625" customWidth="1"/>
    <col min="19" max="19" width="8.6640625" customWidth="1"/>
  </cols>
  <sheetData>
    <row r="2" spans="2:19" x14ac:dyDescent="0.3">
      <c r="B2" s="133" t="s">
        <v>0</v>
      </c>
      <c r="C2" s="135" t="s">
        <v>1</v>
      </c>
      <c r="D2" s="137" t="s">
        <v>2</v>
      </c>
      <c r="E2" s="139" t="s">
        <v>152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spans="2:19" ht="15" thickBot="1" x14ac:dyDescent="0.35">
      <c r="B3" s="134"/>
      <c r="C3" s="136"/>
      <c r="D3" s="138"/>
      <c r="E3" s="3" t="s">
        <v>141</v>
      </c>
      <c r="F3" s="3" t="s">
        <v>18</v>
      </c>
      <c r="G3" s="3" t="s">
        <v>19</v>
      </c>
      <c r="H3" s="3" t="s">
        <v>20</v>
      </c>
      <c r="I3" s="3" t="s">
        <v>142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 t="s">
        <v>29</v>
      </c>
      <c r="R3" s="3" t="s">
        <v>30</v>
      </c>
      <c r="S3" s="35" t="s">
        <v>31</v>
      </c>
    </row>
    <row r="4" spans="2:19" ht="15" thickTop="1" x14ac:dyDescent="0.3">
      <c r="B4" s="42" t="s">
        <v>16</v>
      </c>
      <c r="C4" s="12"/>
      <c r="D4" s="4"/>
      <c r="E4" s="33">
        <v>0.248</v>
      </c>
      <c r="F4" s="34">
        <v>0.97299999999999998</v>
      </c>
      <c r="G4" s="34">
        <v>2.42</v>
      </c>
      <c r="H4" s="34">
        <v>1.53</v>
      </c>
      <c r="I4" s="34"/>
      <c r="J4" s="34">
        <v>3.56</v>
      </c>
      <c r="K4" s="34">
        <v>3.5</v>
      </c>
      <c r="L4" s="34">
        <v>0.628</v>
      </c>
      <c r="M4" s="34">
        <v>1.05</v>
      </c>
      <c r="N4" s="34">
        <v>1.99</v>
      </c>
      <c r="O4" s="34">
        <v>3.04</v>
      </c>
      <c r="P4" s="34">
        <v>1.94</v>
      </c>
      <c r="Q4" s="34">
        <v>0.52400000000000002</v>
      </c>
      <c r="R4" s="34">
        <v>1.58</v>
      </c>
      <c r="S4" s="31">
        <v>-0.58499999999999996</v>
      </c>
    </row>
    <row r="5" spans="2:19" x14ac:dyDescent="0.3">
      <c r="B5" s="41" t="s">
        <v>33</v>
      </c>
      <c r="C5" s="8"/>
      <c r="D5" s="6"/>
      <c r="E5" s="37">
        <v>0.53</v>
      </c>
      <c r="F5" s="37">
        <v>2.2599999999999998</v>
      </c>
      <c r="G5" s="37">
        <v>6.48</v>
      </c>
      <c r="H5" s="37">
        <v>3.93</v>
      </c>
      <c r="I5" s="37"/>
      <c r="J5" s="37">
        <v>9.6300000000000008</v>
      </c>
      <c r="K5" s="37">
        <v>9.68</v>
      </c>
      <c r="L5" s="37">
        <v>1.48</v>
      </c>
      <c r="M5" s="37">
        <v>2.6</v>
      </c>
      <c r="N5" s="37">
        <v>4.95</v>
      </c>
      <c r="O5" s="37">
        <v>8.18</v>
      </c>
      <c r="P5" s="37">
        <v>5.16</v>
      </c>
      <c r="Q5" s="37">
        <v>1.22</v>
      </c>
      <c r="R5" s="37">
        <v>3.91</v>
      </c>
      <c r="S5" s="36">
        <v>-1.25</v>
      </c>
    </row>
    <row r="6" spans="2:19" x14ac:dyDescent="0.3">
      <c r="B6" s="40" t="s">
        <v>133</v>
      </c>
      <c r="C6" s="7">
        <v>1.67</v>
      </c>
      <c r="D6" s="5">
        <v>5.5</v>
      </c>
      <c r="E6" s="1" t="s">
        <v>3</v>
      </c>
      <c r="F6" s="1"/>
      <c r="G6" s="1"/>
      <c r="H6" s="1"/>
      <c r="I6" s="1"/>
      <c r="J6" s="1"/>
      <c r="K6" s="1"/>
      <c r="L6" s="1"/>
      <c r="M6" s="1"/>
      <c r="N6" s="1"/>
      <c r="O6" s="1" t="s">
        <v>3</v>
      </c>
      <c r="P6" s="1" t="s">
        <v>3</v>
      </c>
      <c r="Q6" s="1" t="s">
        <v>3</v>
      </c>
      <c r="R6" s="1" t="s">
        <v>3</v>
      </c>
      <c r="S6" s="32" t="s">
        <v>3</v>
      </c>
    </row>
    <row r="7" spans="2:19" x14ac:dyDescent="0.3">
      <c r="B7" s="39" t="s">
        <v>140</v>
      </c>
      <c r="C7" s="7">
        <v>0.499</v>
      </c>
      <c r="D7" s="5">
        <v>1.54</v>
      </c>
      <c r="E7" s="1"/>
      <c r="F7" s="1" t="s">
        <v>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2"/>
    </row>
    <row r="8" spans="2:19" x14ac:dyDescent="0.3">
      <c r="B8" s="39" t="s">
        <v>139</v>
      </c>
      <c r="C8" s="7">
        <v>0.78</v>
      </c>
      <c r="D8" s="5">
        <v>2.36</v>
      </c>
      <c r="E8" s="1"/>
      <c r="F8" s="1" t="s">
        <v>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2"/>
    </row>
    <row r="9" spans="2:19" x14ac:dyDescent="0.3">
      <c r="B9" s="39" t="s">
        <v>146</v>
      </c>
      <c r="C9" s="7">
        <v>-0.24099999999999999</v>
      </c>
      <c r="D9" s="5">
        <v>-1.76</v>
      </c>
      <c r="E9" s="1"/>
      <c r="F9" s="1"/>
      <c r="G9" s="1"/>
      <c r="H9" s="1"/>
      <c r="I9" s="1"/>
      <c r="J9" s="1" t="s">
        <v>3</v>
      </c>
      <c r="K9" s="1"/>
      <c r="L9" s="1"/>
      <c r="M9" s="1"/>
      <c r="N9" s="1"/>
      <c r="O9" s="1"/>
      <c r="P9" s="1"/>
      <c r="Q9" s="1"/>
      <c r="R9" s="1"/>
      <c r="S9" s="32"/>
    </row>
    <row r="10" spans="2:19" x14ac:dyDescent="0.3">
      <c r="B10" s="39" t="s">
        <v>137</v>
      </c>
      <c r="C10" s="7">
        <v>0.30599999999999999</v>
      </c>
      <c r="D10" s="5">
        <v>2.1800000000000002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3</v>
      </c>
      <c r="R10" s="1"/>
      <c r="S10" s="32"/>
    </row>
    <row r="11" spans="2:19" x14ac:dyDescent="0.3">
      <c r="B11" s="39" t="s">
        <v>134</v>
      </c>
      <c r="C11" s="7">
        <v>-0.248</v>
      </c>
      <c r="D11" s="5">
        <v>-2.4700000000000002</v>
      </c>
      <c r="E11" s="1"/>
      <c r="F11" s="1"/>
      <c r="G11" s="1"/>
      <c r="H11" s="1" t="s">
        <v>3</v>
      </c>
      <c r="I11" s="1" t="s">
        <v>3</v>
      </c>
      <c r="J11" s="1" t="s">
        <v>3</v>
      </c>
      <c r="K11" s="1" t="s">
        <v>3</v>
      </c>
      <c r="L11" s="1"/>
      <c r="M11" s="1"/>
      <c r="N11" s="1"/>
      <c r="O11" s="1"/>
      <c r="P11" s="1"/>
      <c r="Q11" s="1"/>
      <c r="R11" s="1"/>
      <c r="S11" s="32"/>
    </row>
    <row r="12" spans="2:19" x14ac:dyDescent="0.3">
      <c r="B12" s="39" t="s">
        <v>135</v>
      </c>
      <c r="C12" s="7">
        <v>0.36699999999999999</v>
      </c>
      <c r="D12" s="5">
        <v>1.54</v>
      </c>
      <c r="E12" s="1"/>
      <c r="F12" s="1"/>
      <c r="G12" s="1"/>
      <c r="H12" s="1" t="s">
        <v>3</v>
      </c>
      <c r="I12" s="1" t="s">
        <v>3</v>
      </c>
      <c r="J12" s="1" t="s">
        <v>3</v>
      </c>
      <c r="K12" s="1"/>
      <c r="L12" s="1"/>
      <c r="M12" s="1"/>
      <c r="N12" s="1"/>
      <c r="O12" s="1"/>
      <c r="P12" s="1" t="s">
        <v>3</v>
      </c>
      <c r="Q12" s="1"/>
      <c r="R12" s="1"/>
      <c r="S12" s="32"/>
    </row>
    <row r="13" spans="2:19" x14ac:dyDescent="0.3">
      <c r="B13" s="39" t="s">
        <v>159</v>
      </c>
      <c r="C13" s="7">
        <v>-0.93400000000000005</v>
      </c>
      <c r="D13" s="5">
        <v>-1.9</v>
      </c>
      <c r="E13" s="1" t="s"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2" t="s">
        <v>3</v>
      </c>
    </row>
    <row r="14" spans="2:19" x14ac:dyDescent="0.3">
      <c r="B14" s="39" t="s">
        <v>171</v>
      </c>
      <c r="C14" s="7">
        <v>0.30599999999999999</v>
      </c>
      <c r="D14" s="5">
        <v>2.1800000000000002</v>
      </c>
      <c r="E14" s="1"/>
      <c r="F14" s="1"/>
      <c r="G14" s="1"/>
      <c r="H14" s="1"/>
      <c r="I14" s="1"/>
      <c r="J14" s="1" t="s">
        <v>3</v>
      </c>
      <c r="K14" s="1"/>
      <c r="L14" s="1"/>
      <c r="M14" s="1"/>
      <c r="N14" s="1"/>
      <c r="O14" s="1"/>
      <c r="P14" s="1"/>
      <c r="Q14" s="1"/>
      <c r="R14" s="1"/>
      <c r="S14" s="32"/>
    </row>
    <row r="15" spans="2:19" x14ac:dyDescent="0.3">
      <c r="B15" s="39" t="s">
        <v>147</v>
      </c>
      <c r="C15" s="7">
        <v>1.1200000000000001</v>
      </c>
      <c r="D15" s="5">
        <v>5.59</v>
      </c>
      <c r="E15" s="1"/>
      <c r="F15" s="1"/>
      <c r="G15" s="1"/>
      <c r="H15" s="1"/>
      <c r="I15" s="1"/>
      <c r="J15" s="1"/>
      <c r="K15" s="1"/>
      <c r="L15" s="1"/>
      <c r="M15" s="1"/>
      <c r="N15" s="1" t="s">
        <v>3</v>
      </c>
      <c r="O15" s="1"/>
      <c r="P15" s="1"/>
      <c r="Q15" s="1"/>
      <c r="R15" s="1"/>
      <c r="S15" s="32"/>
    </row>
    <row r="16" spans="2:19" x14ac:dyDescent="0.3">
      <c r="B16" s="39" t="s">
        <v>148</v>
      </c>
      <c r="C16" s="7">
        <v>1.65</v>
      </c>
      <c r="D16" s="5">
        <v>8.51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3</v>
      </c>
      <c r="R16" s="1" t="s">
        <v>3</v>
      </c>
      <c r="S16" s="32" t="s">
        <v>3</v>
      </c>
    </row>
    <row r="17" spans="2:19" x14ac:dyDescent="0.3">
      <c r="B17" s="39" t="s">
        <v>143</v>
      </c>
      <c r="C17" s="7">
        <v>-0.79600000000000004</v>
      </c>
      <c r="D17" s="5">
        <v>-5.29</v>
      </c>
      <c r="E17" s="1"/>
      <c r="F17" s="1"/>
      <c r="G17" s="1"/>
      <c r="H17" s="1" t="s">
        <v>3</v>
      </c>
      <c r="I17" s="1" t="s">
        <v>3</v>
      </c>
      <c r="J17" s="1" t="s">
        <v>3</v>
      </c>
      <c r="K17" s="1" t="s">
        <v>3</v>
      </c>
      <c r="L17" s="1"/>
      <c r="M17" s="1"/>
      <c r="N17" s="1"/>
      <c r="O17" s="1"/>
      <c r="P17" s="1"/>
      <c r="Q17" s="1"/>
      <c r="R17" s="1"/>
      <c r="S17" s="32"/>
    </row>
    <row r="18" spans="2:19" x14ac:dyDescent="0.3">
      <c r="B18" s="39" t="s">
        <v>144</v>
      </c>
      <c r="C18" s="7">
        <v>0.63300000000000001</v>
      </c>
      <c r="D18" s="5">
        <v>4.99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 t="s">
        <v>3</v>
      </c>
      <c r="P18" s="1"/>
      <c r="Q18" s="1"/>
      <c r="R18" s="1"/>
      <c r="S18" s="32"/>
    </row>
    <row r="19" spans="2:19" x14ac:dyDescent="0.3">
      <c r="B19" s="39" t="s">
        <v>145</v>
      </c>
      <c r="C19" s="7">
        <v>0.66300000000000003</v>
      </c>
      <c r="D19" s="5">
        <v>2.75</v>
      </c>
      <c r="E19" s="1"/>
      <c r="F19" s="1" t="s">
        <v>3</v>
      </c>
      <c r="G19" s="1"/>
      <c r="H19" s="1"/>
      <c r="I19" s="1"/>
      <c r="J19" s="1"/>
      <c r="K19" s="1"/>
      <c r="L19" s="1"/>
      <c r="M19" s="1"/>
      <c r="N19" s="1" t="s">
        <v>3</v>
      </c>
      <c r="O19" s="1"/>
      <c r="P19" s="1"/>
      <c r="Q19" s="1" t="s">
        <v>3</v>
      </c>
      <c r="R19" s="1"/>
      <c r="S19" s="32" t="s">
        <v>3</v>
      </c>
    </row>
    <row r="20" spans="2:19" x14ac:dyDescent="0.3">
      <c r="B20" s="38" t="s">
        <v>32</v>
      </c>
      <c r="C20" s="140">
        <v>1867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</row>
    <row r="21" spans="2:19" x14ac:dyDescent="0.3">
      <c r="B21" s="56" t="s">
        <v>11</v>
      </c>
      <c r="C21" s="121">
        <v>0.19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</row>
  </sheetData>
  <mergeCells count="6">
    <mergeCell ref="C21:S21"/>
    <mergeCell ref="B2:B3"/>
    <mergeCell ref="C2:C3"/>
    <mergeCell ref="D2:D3"/>
    <mergeCell ref="E2:S2"/>
    <mergeCell ref="C20:S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E346-C6E8-4B0D-95D5-B0ABD258688C}">
  <dimension ref="B2:O20"/>
  <sheetViews>
    <sheetView zoomScaleNormal="100" workbookViewId="0">
      <selection activeCell="G29" sqref="G29"/>
    </sheetView>
  </sheetViews>
  <sheetFormatPr defaultRowHeight="14.4" x14ac:dyDescent="0.3"/>
  <cols>
    <col min="2" max="2" width="31.6640625" customWidth="1"/>
    <col min="3" max="4" width="10.44140625" customWidth="1"/>
    <col min="5" max="5" width="10.5546875" customWidth="1"/>
    <col min="6" max="6" width="9.6640625" customWidth="1"/>
    <col min="7" max="7" width="8.6640625" customWidth="1"/>
    <col min="8" max="9" width="8" customWidth="1"/>
    <col min="10" max="10" width="8.5546875" customWidth="1"/>
    <col min="11" max="11" width="8.88671875" customWidth="1"/>
    <col min="12" max="12" width="7.88671875" customWidth="1"/>
    <col min="13" max="14" width="7.6640625" customWidth="1"/>
    <col min="15" max="15" width="8.6640625" customWidth="1"/>
  </cols>
  <sheetData>
    <row r="2" spans="2:15" x14ac:dyDescent="0.3">
      <c r="B2" s="133" t="s">
        <v>0</v>
      </c>
      <c r="C2" s="135" t="s">
        <v>1</v>
      </c>
      <c r="D2" s="137" t="s">
        <v>2</v>
      </c>
      <c r="E2" s="139" t="s">
        <v>153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2:15" ht="15" thickBot="1" x14ac:dyDescent="0.35">
      <c r="B3" s="134"/>
      <c r="C3" s="136"/>
      <c r="D3" s="138"/>
      <c r="E3" s="3" t="s">
        <v>18</v>
      </c>
      <c r="F3" s="3" t="s">
        <v>19</v>
      </c>
      <c r="G3" s="3" t="s">
        <v>22</v>
      </c>
      <c r="H3" s="3" t="s">
        <v>23</v>
      </c>
      <c r="I3" s="3" t="s">
        <v>24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5" t="s">
        <v>31</v>
      </c>
    </row>
    <row r="4" spans="2:15" ht="15" thickTop="1" x14ac:dyDescent="0.3">
      <c r="B4" s="42" t="s">
        <v>16</v>
      </c>
      <c r="C4" s="12"/>
      <c r="D4" s="4"/>
      <c r="E4" s="34">
        <v>0.31</v>
      </c>
      <c r="F4" s="34">
        <v>2.46</v>
      </c>
      <c r="G4" s="34">
        <v>3.99</v>
      </c>
      <c r="H4" s="34">
        <v>3.47</v>
      </c>
      <c r="I4" s="34">
        <v>0.76</v>
      </c>
      <c r="J4" s="34">
        <v>1.94</v>
      </c>
      <c r="K4" s="34">
        <v>2.2999999999999998</v>
      </c>
      <c r="L4" s="34"/>
      <c r="M4" s="34">
        <v>-0.14799999999999999</v>
      </c>
      <c r="N4" s="34">
        <v>1.53</v>
      </c>
      <c r="O4" s="31">
        <v>-2.62</v>
      </c>
    </row>
    <row r="5" spans="2:15" x14ac:dyDescent="0.3">
      <c r="B5" s="41" t="s">
        <v>33</v>
      </c>
      <c r="C5" s="8"/>
      <c r="D5" s="6"/>
      <c r="E5" s="37">
        <v>0.56000000000000005</v>
      </c>
      <c r="F5" s="37">
        <v>6.234</v>
      </c>
      <c r="G5" s="37">
        <v>10.36</v>
      </c>
      <c r="H5" s="37">
        <v>9.02</v>
      </c>
      <c r="I5" s="37">
        <v>1.54</v>
      </c>
      <c r="J5" s="37">
        <v>4.18</v>
      </c>
      <c r="K5" s="37">
        <v>5.7</v>
      </c>
      <c r="L5" s="37"/>
      <c r="M5" s="37">
        <v>-0.25</v>
      </c>
      <c r="N5" s="37">
        <v>2.96</v>
      </c>
      <c r="O5" s="36">
        <v>-2.25</v>
      </c>
    </row>
    <row r="6" spans="2:15" x14ac:dyDescent="0.3">
      <c r="B6" s="40" t="s">
        <v>133</v>
      </c>
      <c r="C6" s="7">
        <v>1.59</v>
      </c>
      <c r="D6" s="5">
        <v>2.96</v>
      </c>
      <c r="E6" s="1"/>
      <c r="F6" s="1"/>
      <c r="G6" s="1"/>
      <c r="H6" s="1"/>
      <c r="I6" s="1"/>
      <c r="J6" s="1"/>
      <c r="K6" s="1" t="s">
        <v>3</v>
      </c>
      <c r="L6" s="1" t="s">
        <v>3</v>
      </c>
      <c r="M6" s="1" t="s">
        <v>3</v>
      </c>
      <c r="N6" s="1" t="s">
        <v>3</v>
      </c>
      <c r="O6" s="32" t="s">
        <v>3</v>
      </c>
    </row>
    <row r="7" spans="2:15" x14ac:dyDescent="0.3">
      <c r="B7" s="39" t="s">
        <v>132</v>
      </c>
      <c r="C7" s="7">
        <v>0.59399999999999997</v>
      </c>
      <c r="D7" s="5">
        <v>2.82</v>
      </c>
      <c r="E7" s="1"/>
      <c r="F7" s="1"/>
      <c r="G7" s="1"/>
      <c r="H7" s="1"/>
      <c r="I7" s="1"/>
      <c r="J7" s="1" t="s">
        <v>3</v>
      </c>
      <c r="K7" s="1"/>
      <c r="L7" s="1"/>
      <c r="M7" s="1" t="s">
        <v>3</v>
      </c>
      <c r="N7" s="1" t="s">
        <v>3</v>
      </c>
      <c r="O7" s="32" t="s">
        <v>3</v>
      </c>
    </row>
    <row r="8" spans="2:15" x14ac:dyDescent="0.3">
      <c r="B8" s="39" t="s">
        <v>139</v>
      </c>
      <c r="C8" s="7">
        <v>0.90900000000000003</v>
      </c>
      <c r="D8" s="5">
        <v>1.66</v>
      </c>
      <c r="E8" s="1" t="s">
        <v>3</v>
      </c>
      <c r="F8" s="1"/>
      <c r="G8" s="1"/>
      <c r="H8" s="1"/>
      <c r="I8" s="1"/>
      <c r="J8" s="1"/>
      <c r="K8" s="1"/>
      <c r="L8" s="1"/>
      <c r="M8" s="1"/>
      <c r="N8" s="1"/>
      <c r="O8" s="32"/>
    </row>
    <row r="9" spans="2:15" x14ac:dyDescent="0.3">
      <c r="B9" s="39" t="s">
        <v>146</v>
      </c>
      <c r="C9" s="7">
        <v>-0.48199999999999998</v>
      </c>
      <c r="D9" s="5">
        <v>-3.03</v>
      </c>
      <c r="E9" s="1"/>
      <c r="F9" s="1"/>
      <c r="G9" s="1" t="s">
        <v>3</v>
      </c>
      <c r="H9" s="1"/>
      <c r="I9" s="1"/>
      <c r="J9" s="1"/>
      <c r="K9" s="1"/>
      <c r="L9" s="1"/>
      <c r="M9" s="1"/>
      <c r="N9" s="1"/>
      <c r="O9" s="32"/>
    </row>
    <row r="10" spans="2:15" x14ac:dyDescent="0.3">
      <c r="B10" s="39" t="s">
        <v>137</v>
      </c>
      <c r="C10" s="7">
        <v>1.45</v>
      </c>
      <c r="D10" s="5">
        <v>3.5</v>
      </c>
      <c r="E10" s="1"/>
      <c r="F10" s="1"/>
      <c r="G10" s="1"/>
      <c r="H10" s="1"/>
      <c r="I10" s="1"/>
      <c r="J10" s="1"/>
      <c r="K10" s="1"/>
      <c r="L10" s="1"/>
      <c r="M10" s="1" t="s">
        <v>3</v>
      </c>
      <c r="N10" s="1"/>
      <c r="O10" s="32"/>
    </row>
    <row r="11" spans="2:15" x14ac:dyDescent="0.3">
      <c r="B11" s="39" t="s">
        <v>138</v>
      </c>
      <c r="C11" s="7">
        <v>2.2000000000000002</v>
      </c>
      <c r="D11" s="5">
        <v>2.06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2" t="s">
        <v>3</v>
      </c>
    </row>
    <row r="12" spans="2:15" x14ac:dyDescent="0.3">
      <c r="B12" s="39" t="s">
        <v>157</v>
      </c>
      <c r="C12" s="7">
        <v>0.58299999999999996</v>
      </c>
      <c r="D12" s="5">
        <v>1.21</v>
      </c>
      <c r="E12" s="1"/>
      <c r="F12" s="1"/>
      <c r="G12" s="1"/>
      <c r="H12" s="1"/>
      <c r="I12" s="1" t="s">
        <v>3</v>
      </c>
      <c r="J12" s="1"/>
      <c r="K12" s="1"/>
      <c r="L12" s="1"/>
      <c r="M12" s="1"/>
      <c r="N12" s="1"/>
      <c r="O12" s="32"/>
    </row>
    <row r="13" spans="2:15" x14ac:dyDescent="0.3">
      <c r="B13" s="39" t="s">
        <v>158</v>
      </c>
      <c r="C13" s="7">
        <v>0.997</v>
      </c>
      <c r="D13" s="5">
        <v>1.47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32" t="s">
        <v>3</v>
      </c>
    </row>
    <row r="14" spans="2:15" x14ac:dyDescent="0.3">
      <c r="B14" s="39" t="s">
        <v>147</v>
      </c>
      <c r="C14" s="7">
        <v>0.33500000000000002</v>
      </c>
      <c r="D14" s="5">
        <v>1.17</v>
      </c>
      <c r="E14" s="1"/>
      <c r="F14" s="1"/>
      <c r="G14" s="1"/>
      <c r="H14" s="1"/>
      <c r="I14" s="1"/>
      <c r="J14" s="1" t="s">
        <v>3</v>
      </c>
      <c r="K14" s="1"/>
      <c r="L14" s="1"/>
      <c r="M14" s="1"/>
      <c r="N14" s="1"/>
      <c r="O14" s="32"/>
    </row>
    <row r="15" spans="2:15" x14ac:dyDescent="0.3">
      <c r="B15" s="39" t="s">
        <v>148</v>
      </c>
      <c r="C15" s="7">
        <v>0.96699999999999997</v>
      </c>
      <c r="D15" s="5">
        <v>2.62</v>
      </c>
      <c r="E15" s="1"/>
      <c r="F15" s="1"/>
      <c r="G15" s="1"/>
      <c r="H15" s="1"/>
      <c r="I15" s="1"/>
      <c r="J15" s="1"/>
      <c r="K15" s="1"/>
      <c r="L15" s="1"/>
      <c r="M15" s="1" t="s">
        <v>3</v>
      </c>
      <c r="N15" s="1" t="s">
        <v>3</v>
      </c>
      <c r="O15" s="32" t="s">
        <v>3</v>
      </c>
    </row>
    <row r="16" spans="2:15" x14ac:dyDescent="0.3">
      <c r="B16" s="39" t="s">
        <v>162</v>
      </c>
      <c r="C16" s="7">
        <v>0.99399999999999999</v>
      </c>
      <c r="D16" s="5">
        <v>4.5</v>
      </c>
      <c r="E16" s="1"/>
      <c r="F16" s="1"/>
      <c r="G16" s="1"/>
      <c r="H16" s="1"/>
      <c r="I16" s="1"/>
      <c r="J16" s="1" t="s">
        <v>3</v>
      </c>
      <c r="K16" s="1"/>
      <c r="L16" s="1"/>
      <c r="M16" s="1"/>
      <c r="N16" s="1"/>
      <c r="O16" s="32"/>
    </row>
    <row r="17" spans="2:15" x14ac:dyDescent="0.3">
      <c r="B17" s="39" t="s">
        <v>156</v>
      </c>
      <c r="C17" s="7">
        <v>0.89300000000000002</v>
      </c>
      <c r="D17" s="5">
        <v>4</v>
      </c>
      <c r="E17" s="1"/>
      <c r="F17" s="1"/>
      <c r="G17" s="1"/>
      <c r="H17" s="1"/>
      <c r="I17" s="1"/>
      <c r="J17" s="1"/>
      <c r="K17" s="1" t="s">
        <v>3</v>
      </c>
      <c r="L17" s="1"/>
      <c r="M17" s="1"/>
      <c r="N17" s="1"/>
      <c r="O17" s="32"/>
    </row>
    <row r="18" spans="2:15" x14ac:dyDescent="0.3">
      <c r="B18" s="39" t="s">
        <v>155</v>
      </c>
      <c r="C18" s="7">
        <v>-1.07</v>
      </c>
      <c r="D18" s="5">
        <v>-3.01</v>
      </c>
      <c r="E18" s="1"/>
      <c r="F18" s="1"/>
      <c r="G18" s="1"/>
      <c r="H18" s="1"/>
      <c r="I18" s="1"/>
      <c r="J18" s="1"/>
      <c r="K18" s="1"/>
      <c r="L18" s="1"/>
      <c r="M18" s="1"/>
      <c r="N18" s="1" t="s">
        <v>3</v>
      </c>
      <c r="O18" s="32"/>
    </row>
    <row r="19" spans="2:15" x14ac:dyDescent="0.3">
      <c r="B19" s="38" t="s">
        <v>32</v>
      </c>
      <c r="C19" s="140">
        <v>951</v>
      </c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</row>
    <row r="20" spans="2:15" x14ac:dyDescent="0.3">
      <c r="B20" s="56" t="s">
        <v>11</v>
      </c>
      <c r="C20" s="121">
        <v>0.24099999999999999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</row>
  </sheetData>
  <mergeCells count="6">
    <mergeCell ref="C20:O20"/>
    <mergeCell ref="B2:B3"/>
    <mergeCell ref="C2:C3"/>
    <mergeCell ref="D2:D3"/>
    <mergeCell ref="E2:O2"/>
    <mergeCell ref="C19:O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AD3D-2C8E-4874-ADBB-6FA61B91D126}">
  <dimension ref="B2:K17"/>
  <sheetViews>
    <sheetView tabSelected="1" workbookViewId="0">
      <selection activeCell="F31" sqref="F31"/>
    </sheetView>
  </sheetViews>
  <sheetFormatPr defaultRowHeight="14.4" x14ac:dyDescent="0.3"/>
  <cols>
    <col min="2" max="2" width="30.21875" customWidth="1"/>
    <col min="3" max="4" width="10" customWidth="1"/>
  </cols>
  <sheetData>
    <row r="2" spans="2:11" x14ac:dyDescent="0.3">
      <c r="B2" s="98" t="s">
        <v>9</v>
      </c>
      <c r="C2" s="100" t="s">
        <v>1</v>
      </c>
      <c r="D2" s="102" t="s">
        <v>173</v>
      </c>
      <c r="E2" s="96" t="s">
        <v>174</v>
      </c>
      <c r="F2" s="116"/>
      <c r="G2" s="116"/>
      <c r="H2" s="116"/>
      <c r="I2" s="116"/>
      <c r="J2" s="116"/>
      <c r="K2" s="116"/>
    </row>
    <row r="3" spans="2:11" ht="15" thickBot="1" x14ac:dyDescent="0.35">
      <c r="B3" s="99"/>
      <c r="C3" s="101"/>
      <c r="D3" s="103"/>
      <c r="E3" s="165" t="s">
        <v>241</v>
      </c>
      <c r="F3" s="164" t="s">
        <v>240</v>
      </c>
      <c r="G3" s="164" t="s">
        <v>239</v>
      </c>
      <c r="H3" s="164" t="s">
        <v>238</v>
      </c>
      <c r="I3" s="164" t="s">
        <v>237</v>
      </c>
      <c r="J3" s="164" t="s">
        <v>236</v>
      </c>
      <c r="K3" s="163" t="s">
        <v>235</v>
      </c>
    </row>
    <row r="4" spans="2:11" ht="15" thickTop="1" x14ac:dyDescent="0.3">
      <c r="B4" s="162" t="s">
        <v>234</v>
      </c>
      <c r="C4" s="161">
        <v>5.1558000000000002</v>
      </c>
      <c r="D4" s="160">
        <v>19.600000000000001</v>
      </c>
      <c r="E4" s="159" t="s">
        <v>3</v>
      </c>
      <c r="F4" s="159"/>
      <c r="G4" s="159"/>
      <c r="H4" s="159"/>
      <c r="I4" s="159"/>
      <c r="J4" s="1"/>
      <c r="K4" s="11"/>
    </row>
    <row r="5" spans="2:11" x14ac:dyDescent="0.3">
      <c r="B5" s="67" t="s">
        <v>233</v>
      </c>
      <c r="C5" s="71">
        <v>4.0633999999999997</v>
      </c>
      <c r="D5" s="73">
        <v>15.57</v>
      </c>
      <c r="E5" s="1"/>
      <c r="F5" s="1" t="s">
        <v>3</v>
      </c>
      <c r="G5" s="1"/>
      <c r="H5" s="1"/>
      <c r="I5" s="1"/>
      <c r="J5" s="1"/>
      <c r="K5" s="11"/>
    </row>
    <row r="6" spans="2:11" x14ac:dyDescent="0.3">
      <c r="B6" s="67" t="s">
        <v>232</v>
      </c>
      <c r="C6" s="71">
        <v>1.7372000000000001</v>
      </c>
      <c r="D6" s="73">
        <v>6.3</v>
      </c>
      <c r="E6" s="1"/>
      <c r="F6" s="1"/>
      <c r="G6" s="1" t="s">
        <v>3</v>
      </c>
      <c r="H6" s="1"/>
      <c r="I6" s="1"/>
      <c r="J6" s="1"/>
      <c r="K6" s="11"/>
    </row>
    <row r="7" spans="2:11" x14ac:dyDescent="0.3">
      <c r="B7" s="67" t="s">
        <v>231</v>
      </c>
      <c r="C7" s="71">
        <v>1.7372000000000001</v>
      </c>
      <c r="D7" s="73">
        <v>6.3</v>
      </c>
      <c r="E7" s="1"/>
      <c r="F7" s="1"/>
      <c r="G7" s="1"/>
      <c r="H7" s="1" t="s">
        <v>3</v>
      </c>
      <c r="I7" s="1"/>
      <c r="J7" s="1"/>
      <c r="K7" s="11"/>
    </row>
    <row r="8" spans="2:11" x14ac:dyDescent="0.3">
      <c r="B8" s="67" t="s">
        <v>230</v>
      </c>
      <c r="C8" s="71">
        <v>1.8498000000000001</v>
      </c>
      <c r="D8" s="73">
        <v>6.64</v>
      </c>
      <c r="E8" s="1"/>
      <c r="F8" s="1"/>
      <c r="G8" s="1"/>
      <c r="H8" s="1"/>
      <c r="I8" s="1" t="s">
        <v>3</v>
      </c>
      <c r="J8" s="1"/>
      <c r="K8" s="11"/>
    </row>
    <row r="9" spans="2:11" x14ac:dyDescent="0.3">
      <c r="B9" s="68" t="s">
        <v>229</v>
      </c>
      <c r="C9" s="34">
        <v>7.9100000000000004E-2</v>
      </c>
      <c r="D9" s="74">
        <v>0.22</v>
      </c>
      <c r="E9" s="2"/>
      <c r="F9" s="2"/>
      <c r="G9" s="2"/>
      <c r="H9" s="2"/>
      <c r="I9" s="2"/>
      <c r="J9" s="2" t="s">
        <v>3</v>
      </c>
      <c r="K9" s="158"/>
    </row>
    <row r="10" spans="2:11" x14ac:dyDescent="0.3">
      <c r="B10" s="67" t="s">
        <v>228</v>
      </c>
      <c r="C10" s="71">
        <v>0.75070000000000003</v>
      </c>
      <c r="D10" s="73">
        <v>5.43</v>
      </c>
      <c r="E10" s="1"/>
      <c r="F10" s="1"/>
      <c r="G10" s="1" t="s">
        <v>3</v>
      </c>
      <c r="H10" s="1" t="s">
        <v>3</v>
      </c>
      <c r="I10" s="1"/>
      <c r="J10" s="1"/>
      <c r="K10" s="11"/>
    </row>
    <row r="11" spans="2:11" x14ac:dyDescent="0.3">
      <c r="B11" s="67" t="s">
        <v>227</v>
      </c>
      <c r="C11" s="71">
        <v>0.1424</v>
      </c>
      <c r="D11" s="73">
        <v>1.21</v>
      </c>
      <c r="E11" s="1" t="s">
        <v>3</v>
      </c>
      <c r="F11" s="1"/>
      <c r="G11" s="1"/>
      <c r="H11" s="1"/>
      <c r="I11" s="1"/>
      <c r="J11" s="1"/>
      <c r="K11" s="11"/>
    </row>
    <row r="12" spans="2:11" x14ac:dyDescent="0.3">
      <c r="B12" s="67" t="s">
        <v>226</v>
      </c>
      <c r="C12" s="71">
        <v>0.36020000000000002</v>
      </c>
      <c r="D12" s="73">
        <v>3.07</v>
      </c>
      <c r="E12" s="1" t="s">
        <v>3</v>
      </c>
      <c r="F12" s="1"/>
      <c r="G12" s="1"/>
      <c r="H12" s="1"/>
      <c r="I12" s="1"/>
      <c r="J12" s="1"/>
      <c r="K12" s="11"/>
    </row>
    <row r="13" spans="2:11" ht="15" thickBot="1" x14ac:dyDescent="0.35">
      <c r="B13" s="67" t="s">
        <v>225</v>
      </c>
      <c r="C13" s="71">
        <v>0.30280000000000001</v>
      </c>
      <c r="D13" s="73">
        <v>1.06</v>
      </c>
      <c r="E13" s="1"/>
      <c r="F13" s="1"/>
      <c r="G13" s="1" t="s">
        <v>3</v>
      </c>
      <c r="H13" s="1" t="s">
        <v>3</v>
      </c>
      <c r="I13" s="1"/>
      <c r="J13" s="1"/>
      <c r="K13" s="11" t="s">
        <v>3</v>
      </c>
    </row>
    <row r="14" spans="2:11" ht="15" thickBot="1" x14ac:dyDescent="0.35">
      <c r="B14" s="157" t="s">
        <v>32</v>
      </c>
      <c r="C14" s="156">
        <f>SUM(E14:K14)</f>
        <v>4743</v>
      </c>
      <c r="D14" s="155"/>
      <c r="E14" s="154">
        <v>3520</v>
      </c>
      <c r="F14" s="153">
        <v>860</v>
      </c>
      <c r="G14" s="153">
        <v>191</v>
      </c>
      <c r="H14" s="153">
        <v>47</v>
      </c>
      <c r="I14" s="153">
        <v>94</v>
      </c>
      <c r="J14" s="153">
        <v>16</v>
      </c>
      <c r="K14" s="152">
        <v>15</v>
      </c>
    </row>
    <row r="15" spans="2:11" x14ac:dyDescent="0.3">
      <c r="B15" s="67" t="s">
        <v>224</v>
      </c>
      <c r="C15" s="151"/>
      <c r="D15" s="150"/>
      <c r="E15" s="149"/>
      <c r="F15" s="149"/>
      <c r="G15" s="149"/>
      <c r="H15" s="149"/>
      <c r="I15" s="149"/>
      <c r="J15" s="149"/>
      <c r="K15" s="148"/>
    </row>
    <row r="16" spans="2:11" ht="15" thickBot="1" x14ac:dyDescent="0.35">
      <c r="B16" s="143" t="s">
        <v>223</v>
      </c>
      <c r="C16" s="147"/>
      <c r="D16" s="146"/>
      <c r="E16" s="145">
        <v>75.17</v>
      </c>
      <c r="F16" s="145">
        <v>17.61</v>
      </c>
      <c r="G16" s="145">
        <v>3.5</v>
      </c>
      <c r="H16" s="145">
        <v>0.83</v>
      </c>
      <c r="I16" s="145">
        <v>2.11</v>
      </c>
      <c r="J16" s="145">
        <v>0.39</v>
      </c>
      <c r="K16" s="144">
        <v>0.39</v>
      </c>
    </row>
    <row r="17" spans="2:11" ht="15" thickBot="1" x14ac:dyDescent="0.35">
      <c r="B17" s="143" t="s">
        <v>186</v>
      </c>
      <c r="C17" s="142">
        <v>0.57799999999999996</v>
      </c>
      <c r="D17" s="142"/>
      <c r="E17" s="142"/>
      <c r="F17" s="142"/>
      <c r="G17" s="142"/>
      <c r="H17" s="142"/>
      <c r="I17" s="142"/>
      <c r="J17" s="142"/>
      <c r="K17" s="142"/>
    </row>
  </sheetData>
  <mergeCells count="7">
    <mergeCell ref="C17:K17"/>
    <mergeCell ref="B2:B3"/>
    <mergeCell ref="C2:C3"/>
    <mergeCell ref="D2:D3"/>
    <mergeCell ref="E2:K2"/>
    <mergeCell ref="C14:D14"/>
    <mergeCell ref="C15:D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D1B5-FEE6-4D66-B014-8D151D0CC791}">
  <dimension ref="B2:G14"/>
  <sheetViews>
    <sheetView workbookViewId="0">
      <selection activeCell="F25" sqref="F25"/>
    </sheetView>
  </sheetViews>
  <sheetFormatPr defaultRowHeight="14.4" x14ac:dyDescent="0.3"/>
  <cols>
    <col min="2" max="2" width="24.44140625" customWidth="1"/>
    <col min="3" max="4" width="10" customWidth="1"/>
  </cols>
  <sheetData>
    <row r="2" spans="2:7" x14ac:dyDescent="0.3">
      <c r="B2" s="98" t="s">
        <v>9</v>
      </c>
      <c r="C2" s="100" t="s">
        <v>1</v>
      </c>
      <c r="D2" s="102" t="s">
        <v>173</v>
      </c>
      <c r="E2" s="96" t="s">
        <v>174</v>
      </c>
      <c r="F2" s="116"/>
      <c r="G2" s="116"/>
    </row>
    <row r="3" spans="2:7" ht="15" thickBot="1" x14ac:dyDescent="0.35">
      <c r="B3" s="99"/>
      <c r="C3" s="101"/>
      <c r="D3" s="103"/>
      <c r="E3" s="165" t="s">
        <v>250</v>
      </c>
      <c r="F3" s="164" t="s">
        <v>249</v>
      </c>
      <c r="G3" s="163" t="s">
        <v>209</v>
      </c>
    </row>
    <row r="4" spans="2:7" ht="15" thickTop="1" x14ac:dyDescent="0.3">
      <c r="B4" s="162" t="s">
        <v>248</v>
      </c>
      <c r="C4" s="161">
        <v>-1.6393</v>
      </c>
      <c r="D4" s="160">
        <v>-11.18</v>
      </c>
      <c r="E4" s="159" t="s">
        <v>3</v>
      </c>
      <c r="F4" s="159"/>
      <c r="G4" s="169"/>
    </row>
    <row r="5" spans="2:7" x14ac:dyDescent="0.3">
      <c r="B5" s="68" t="s">
        <v>247</v>
      </c>
      <c r="C5" s="34">
        <v>-4.7462</v>
      </c>
      <c r="D5" s="74">
        <v>-10.52</v>
      </c>
      <c r="E5" s="2"/>
      <c r="F5" s="2" t="s">
        <v>3</v>
      </c>
      <c r="G5" s="158"/>
    </row>
    <row r="6" spans="2:7" x14ac:dyDescent="0.3">
      <c r="B6" s="67" t="s">
        <v>246</v>
      </c>
      <c r="C6" s="71">
        <v>1.8461000000000001</v>
      </c>
      <c r="D6" s="73">
        <v>4.9400000000000004</v>
      </c>
      <c r="E6" s="1" t="s">
        <v>3</v>
      </c>
      <c r="F6" s="1"/>
      <c r="G6" s="11"/>
    </row>
    <row r="7" spans="2:7" x14ac:dyDescent="0.3">
      <c r="B7" s="67" t="s">
        <v>245</v>
      </c>
      <c r="C7" s="71">
        <v>4.4626999999999999</v>
      </c>
      <c r="D7" s="73">
        <v>4.42</v>
      </c>
      <c r="E7" s="1"/>
      <c r="F7" s="1" t="s">
        <v>3</v>
      </c>
      <c r="G7" s="11"/>
    </row>
    <row r="8" spans="2:7" x14ac:dyDescent="0.3">
      <c r="B8" s="67" t="s">
        <v>244</v>
      </c>
      <c r="C8" s="71">
        <v>-0.77980000000000005</v>
      </c>
      <c r="D8" s="73">
        <v>-2.02</v>
      </c>
      <c r="E8" s="1" t="s">
        <v>3</v>
      </c>
      <c r="F8" s="1"/>
      <c r="G8" s="11"/>
    </row>
    <row r="9" spans="2:7" x14ac:dyDescent="0.3">
      <c r="B9" s="67" t="s">
        <v>243</v>
      </c>
      <c r="C9" s="71">
        <v>0.81669999999999998</v>
      </c>
      <c r="D9" s="73">
        <v>0.74</v>
      </c>
      <c r="E9" s="1"/>
      <c r="F9" s="1" t="s">
        <v>3</v>
      </c>
      <c r="G9" s="11"/>
    </row>
    <row r="10" spans="2:7" ht="15" thickBot="1" x14ac:dyDescent="0.35">
      <c r="B10" s="67" t="s">
        <v>242</v>
      </c>
      <c r="C10" s="168">
        <v>0.30080000000000001</v>
      </c>
      <c r="D10" s="167">
        <v>2.5499999999999998</v>
      </c>
      <c r="E10" s="166"/>
      <c r="F10" s="1"/>
      <c r="G10" s="11" t="s">
        <v>3</v>
      </c>
    </row>
    <row r="11" spans="2:7" ht="15" thickBot="1" x14ac:dyDescent="0.35">
      <c r="B11" s="157" t="s">
        <v>32</v>
      </c>
      <c r="C11" s="156">
        <f>SUM(E11:G11)</f>
        <v>1721</v>
      </c>
      <c r="D11" s="155"/>
      <c r="E11" s="154">
        <v>326</v>
      </c>
      <c r="F11" s="153">
        <v>421</v>
      </c>
      <c r="G11" s="152">
        <v>974</v>
      </c>
    </row>
    <row r="12" spans="2:7" x14ac:dyDescent="0.3">
      <c r="B12" s="67" t="s">
        <v>224</v>
      </c>
      <c r="C12" s="151"/>
      <c r="D12" s="150"/>
      <c r="E12" s="149"/>
      <c r="F12" s="149"/>
      <c r="G12" s="148"/>
    </row>
    <row r="13" spans="2:7" ht="15" thickBot="1" x14ac:dyDescent="0.35">
      <c r="B13" s="143" t="s">
        <v>223</v>
      </c>
      <c r="C13" s="147"/>
      <c r="D13" s="146"/>
      <c r="E13" s="145">
        <v>20.74</v>
      </c>
      <c r="F13" s="145">
        <v>22.52</v>
      </c>
      <c r="G13" s="144">
        <v>56.74</v>
      </c>
    </row>
    <row r="14" spans="2:7" ht="15" thickBot="1" x14ac:dyDescent="0.35">
      <c r="B14" s="143" t="s">
        <v>186</v>
      </c>
      <c r="C14" s="142">
        <v>0.35799999999999998</v>
      </c>
      <c r="D14" s="142"/>
      <c r="E14" s="142"/>
      <c r="F14" s="142"/>
      <c r="G14" s="142"/>
    </row>
  </sheetData>
  <mergeCells count="7">
    <mergeCell ref="C14:G14"/>
    <mergeCell ref="B2:B3"/>
    <mergeCell ref="C2:C3"/>
    <mergeCell ref="D2:D3"/>
    <mergeCell ref="E2:G2"/>
    <mergeCell ref="C11:D11"/>
    <mergeCell ref="C12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E5A6-77C4-4D5E-9E70-9F56D10D360F}">
  <dimension ref="A1:AI21"/>
  <sheetViews>
    <sheetView workbookViewId="0">
      <selection activeCell="F25" sqref="F25"/>
    </sheetView>
  </sheetViews>
  <sheetFormatPr defaultRowHeight="14.4" x14ac:dyDescent="0.3"/>
  <cols>
    <col min="1" max="1" width="4.33203125" customWidth="1"/>
    <col min="2" max="2" width="30.21875" customWidth="1"/>
    <col min="3" max="3" width="10.5546875" customWidth="1"/>
    <col min="4" max="4" width="9.77734375" customWidth="1"/>
    <col min="5" max="6" width="9.44140625" customWidth="1"/>
    <col min="13" max="13" width="3.5546875" customWidth="1"/>
    <col min="14" max="14" width="4.88671875" customWidth="1"/>
    <col min="15" max="15" width="29.77734375" customWidth="1"/>
    <col min="16" max="17" width="10.5546875" customWidth="1"/>
    <col min="24" max="24" width="4.109375" customWidth="1"/>
    <col min="25" max="25" width="6.33203125" customWidth="1"/>
    <col min="26" max="26" width="30.21875" customWidth="1"/>
    <col min="27" max="28" width="10" customWidth="1"/>
  </cols>
  <sheetData>
    <row r="1" spans="1:35" x14ac:dyDescent="0.3">
      <c r="A1" t="s">
        <v>250</v>
      </c>
      <c r="N1" t="s">
        <v>249</v>
      </c>
      <c r="Y1" t="s">
        <v>209</v>
      </c>
    </row>
    <row r="2" spans="1:35" x14ac:dyDescent="0.3">
      <c r="B2" s="98" t="s">
        <v>9</v>
      </c>
      <c r="C2" s="100" t="s">
        <v>1</v>
      </c>
      <c r="D2" s="102" t="s">
        <v>173</v>
      </c>
      <c r="E2" s="96" t="s">
        <v>174</v>
      </c>
      <c r="F2" s="116"/>
      <c r="G2" s="116"/>
      <c r="H2" s="116"/>
      <c r="I2" s="116"/>
      <c r="J2" s="116"/>
      <c r="K2" s="116"/>
      <c r="L2" s="116"/>
      <c r="O2" s="98" t="s">
        <v>9</v>
      </c>
      <c r="P2" s="100" t="s">
        <v>1</v>
      </c>
      <c r="Q2" s="102" t="s">
        <v>173</v>
      </c>
      <c r="R2" s="96" t="s">
        <v>174</v>
      </c>
      <c r="S2" s="116"/>
      <c r="T2" s="116"/>
      <c r="U2" s="116"/>
      <c r="V2" s="116"/>
      <c r="W2" s="116"/>
      <c r="Z2" s="98" t="s">
        <v>9</v>
      </c>
      <c r="AA2" s="100" t="s">
        <v>1</v>
      </c>
      <c r="AB2" s="102" t="s">
        <v>173</v>
      </c>
      <c r="AC2" s="96" t="s">
        <v>174</v>
      </c>
      <c r="AD2" s="116"/>
      <c r="AE2" s="116"/>
      <c r="AF2" s="116"/>
      <c r="AG2" s="116"/>
      <c r="AH2" s="116"/>
      <c r="AI2" s="116"/>
    </row>
    <row r="3" spans="1:35" ht="15" thickBot="1" x14ac:dyDescent="0.35">
      <c r="B3" s="99"/>
      <c r="C3" s="101"/>
      <c r="D3" s="103"/>
      <c r="E3" s="70" t="s">
        <v>292</v>
      </c>
      <c r="F3" s="179" t="s">
        <v>279</v>
      </c>
      <c r="G3" s="179" t="s">
        <v>285</v>
      </c>
      <c r="H3" s="179" t="s">
        <v>291</v>
      </c>
      <c r="I3" s="179" t="s">
        <v>290</v>
      </c>
      <c r="J3" s="179" t="s">
        <v>289</v>
      </c>
      <c r="K3" s="179" t="s">
        <v>288</v>
      </c>
      <c r="L3" s="64" t="s">
        <v>287</v>
      </c>
      <c r="O3" s="99"/>
      <c r="P3" s="101"/>
      <c r="Q3" s="103"/>
      <c r="R3" s="70" t="s">
        <v>281</v>
      </c>
      <c r="S3" s="179" t="s">
        <v>286</v>
      </c>
      <c r="T3" s="179" t="s">
        <v>285</v>
      </c>
      <c r="U3" s="179" t="s">
        <v>284</v>
      </c>
      <c r="V3" s="179" t="s">
        <v>283</v>
      </c>
      <c r="W3" s="180" t="s">
        <v>282</v>
      </c>
      <c r="Z3" s="99"/>
      <c r="AA3" s="101"/>
      <c r="AB3" s="103"/>
      <c r="AC3" s="70" t="s">
        <v>281</v>
      </c>
      <c r="AD3" s="70" t="s">
        <v>280</v>
      </c>
      <c r="AE3" s="70" t="s">
        <v>279</v>
      </c>
      <c r="AF3" s="70" t="s">
        <v>278</v>
      </c>
      <c r="AG3" s="70" t="s">
        <v>277</v>
      </c>
      <c r="AH3" s="179" t="s">
        <v>276</v>
      </c>
      <c r="AI3" s="178" t="s">
        <v>275</v>
      </c>
    </row>
    <row r="4" spans="1:35" ht="15" thickTop="1" x14ac:dyDescent="0.3">
      <c r="B4" s="162" t="s">
        <v>274</v>
      </c>
      <c r="C4" s="161">
        <v>2.1924000000000001</v>
      </c>
      <c r="D4" s="160">
        <v>4.91</v>
      </c>
      <c r="E4" s="159" t="s">
        <v>3</v>
      </c>
      <c r="F4" s="159"/>
      <c r="G4" s="159"/>
      <c r="H4" s="159"/>
      <c r="I4" s="159"/>
      <c r="J4" s="1"/>
      <c r="K4" s="1"/>
      <c r="L4" s="32"/>
      <c r="O4" s="162" t="s">
        <v>273</v>
      </c>
      <c r="P4" s="161">
        <v>0.37119999999999997</v>
      </c>
      <c r="Q4" s="160">
        <v>0.4</v>
      </c>
      <c r="R4" s="159" t="s">
        <v>3</v>
      </c>
      <c r="S4" s="159"/>
      <c r="T4" s="159"/>
      <c r="U4" s="159"/>
      <c r="V4" s="159"/>
      <c r="W4" s="169"/>
      <c r="Z4" s="162" t="s">
        <v>273</v>
      </c>
      <c r="AA4" s="161">
        <v>1.0046999999999999</v>
      </c>
      <c r="AB4" s="160">
        <v>4.68</v>
      </c>
      <c r="AC4" s="159" t="s">
        <v>3</v>
      </c>
      <c r="AD4" s="159"/>
      <c r="AE4" s="159"/>
      <c r="AF4" s="159"/>
      <c r="AG4" s="159"/>
      <c r="AH4" s="159"/>
      <c r="AI4" s="32"/>
    </row>
    <row r="5" spans="1:35" x14ac:dyDescent="0.3">
      <c r="B5" s="67" t="s">
        <v>269</v>
      </c>
      <c r="C5" s="71">
        <v>1.5439000000000001</v>
      </c>
      <c r="D5" s="73">
        <v>3.2</v>
      </c>
      <c r="E5" s="1"/>
      <c r="F5" s="1" t="s">
        <v>3</v>
      </c>
      <c r="G5" s="1"/>
      <c r="H5" s="1"/>
      <c r="I5" s="1"/>
      <c r="J5" s="1"/>
      <c r="K5" s="1"/>
      <c r="L5" s="32"/>
      <c r="O5" s="67" t="s">
        <v>272</v>
      </c>
      <c r="P5" s="71">
        <v>1.4047000000000001</v>
      </c>
      <c r="Q5" s="73">
        <v>1.53</v>
      </c>
      <c r="R5" s="1"/>
      <c r="S5" s="1" t="s">
        <v>3</v>
      </c>
      <c r="T5" s="1"/>
      <c r="U5" s="1"/>
      <c r="V5" s="1"/>
      <c r="W5" s="11"/>
      <c r="Z5" s="67" t="s">
        <v>271</v>
      </c>
      <c r="AA5" s="71">
        <v>1.0477000000000001</v>
      </c>
      <c r="AB5" s="73">
        <v>4.9000000000000004</v>
      </c>
      <c r="AC5" s="1"/>
      <c r="AD5" s="1" t="s">
        <v>3</v>
      </c>
      <c r="AE5" s="1"/>
      <c r="AF5" s="1"/>
      <c r="AG5" s="1"/>
      <c r="AH5" s="1"/>
      <c r="AI5" s="32"/>
    </row>
    <row r="6" spans="1:35" x14ac:dyDescent="0.3">
      <c r="B6" s="67" t="s">
        <v>270</v>
      </c>
      <c r="C6" s="71">
        <v>1.3121</v>
      </c>
      <c r="D6" s="73">
        <v>2.68</v>
      </c>
      <c r="E6" s="1"/>
      <c r="F6" s="1"/>
      <c r="G6" s="1" t="s">
        <v>3</v>
      </c>
      <c r="H6" s="1"/>
      <c r="I6" s="1"/>
      <c r="J6" s="1"/>
      <c r="K6" s="1"/>
      <c r="L6" s="32"/>
      <c r="O6" s="67" t="s">
        <v>270</v>
      </c>
      <c r="P6" s="71">
        <v>0.91549999999999998</v>
      </c>
      <c r="Q6" s="73">
        <v>3.14</v>
      </c>
      <c r="R6" s="1"/>
      <c r="S6" s="1"/>
      <c r="T6" s="1" t="s">
        <v>3</v>
      </c>
      <c r="U6" s="1"/>
      <c r="V6" s="1"/>
      <c r="W6" s="11"/>
      <c r="Z6" s="67" t="s">
        <v>269</v>
      </c>
      <c r="AA6" s="71">
        <v>1.1980999999999999</v>
      </c>
      <c r="AB6" s="73">
        <v>5.6</v>
      </c>
      <c r="AC6" s="1"/>
      <c r="AD6" s="1"/>
      <c r="AE6" s="1" t="s">
        <v>3</v>
      </c>
      <c r="AF6" s="1"/>
      <c r="AG6" s="1"/>
      <c r="AH6" s="1"/>
      <c r="AI6" s="32"/>
    </row>
    <row r="7" spans="1:35" x14ac:dyDescent="0.3">
      <c r="B7" s="67" t="s">
        <v>268</v>
      </c>
      <c r="C7" s="71">
        <v>1.7249000000000001</v>
      </c>
      <c r="D7" s="73">
        <v>3.6</v>
      </c>
      <c r="E7" s="1"/>
      <c r="F7" s="1"/>
      <c r="G7" s="1"/>
      <c r="H7" s="1" t="s">
        <v>3</v>
      </c>
      <c r="I7" s="1"/>
      <c r="J7" s="1"/>
      <c r="K7" s="1"/>
      <c r="L7" s="32"/>
      <c r="O7" s="67" t="s">
        <v>267</v>
      </c>
      <c r="P7" s="71">
        <v>1.1527000000000001</v>
      </c>
      <c r="Q7" s="73">
        <v>4.92</v>
      </c>
      <c r="R7" s="1"/>
      <c r="S7" s="1"/>
      <c r="T7" s="1"/>
      <c r="U7" s="1" t="s">
        <v>3</v>
      </c>
      <c r="V7" s="1"/>
      <c r="W7" s="11"/>
      <c r="Z7" s="67" t="s">
        <v>266</v>
      </c>
      <c r="AA7" s="71">
        <v>2.5743</v>
      </c>
      <c r="AB7" s="73">
        <v>13.29</v>
      </c>
      <c r="AC7" s="1"/>
      <c r="AD7" s="1"/>
      <c r="AE7" s="1"/>
      <c r="AF7" s="1" t="s">
        <v>3</v>
      </c>
      <c r="AG7" s="1"/>
      <c r="AH7" s="1"/>
      <c r="AI7" s="32"/>
    </row>
    <row r="8" spans="1:35" x14ac:dyDescent="0.3">
      <c r="B8" s="67" t="s">
        <v>265</v>
      </c>
      <c r="C8" s="71">
        <v>1.8612</v>
      </c>
      <c r="D8" s="73">
        <v>3.94</v>
      </c>
      <c r="E8" s="1"/>
      <c r="F8" s="1"/>
      <c r="G8" s="1"/>
      <c r="H8" s="1"/>
      <c r="I8" s="1" t="s">
        <v>3</v>
      </c>
      <c r="J8" s="1"/>
      <c r="K8" s="1"/>
      <c r="L8" s="32"/>
      <c r="O8" s="68" t="s">
        <v>264</v>
      </c>
      <c r="P8" s="34">
        <v>0.62860000000000005</v>
      </c>
      <c r="Q8" s="74">
        <v>2.4900000000000002</v>
      </c>
      <c r="R8" s="2"/>
      <c r="S8" s="2"/>
      <c r="T8" s="2"/>
      <c r="U8" s="2"/>
      <c r="V8" s="2" t="s">
        <v>3</v>
      </c>
      <c r="W8" s="158"/>
      <c r="Z8" s="67" t="s">
        <v>263</v>
      </c>
      <c r="AA8" s="71">
        <v>1.0531999999999999</v>
      </c>
      <c r="AB8" s="73">
        <v>6.08</v>
      </c>
      <c r="AC8" s="1"/>
      <c r="AD8" s="1"/>
      <c r="AE8" s="1"/>
      <c r="AF8" s="1"/>
      <c r="AG8" s="1" t="s">
        <v>3</v>
      </c>
      <c r="AH8" s="1"/>
      <c r="AI8" s="32"/>
    </row>
    <row r="9" spans="1:35" x14ac:dyDescent="0.3">
      <c r="B9" s="67" t="s">
        <v>262</v>
      </c>
      <c r="C9" s="71">
        <v>1.8857999999999999</v>
      </c>
      <c r="D9" s="73">
        <v>4.53</v>
      </c>
      <c r="E9" s="1"/>
      <c r="F9" s="1"/>
      <c r="G9" s="1"/>
      <c r="H9" s="1"/>
      <c r="I9" s="1"/>
      <c r="J9" s="1" t="s">
        <v>3</v>
      </c>
      <c r="K9" s="1"/>
      <c r="L9" s="32"/>
      <c r="O9" s="67" t="s">
        <v>259</v>
      </c>
      <c r="P9" s="71">
        <v>0.1321</v>
      </c>
      <c r="Q9" s="73">
        <v>0.3</v>
      </c>
      <c r="R9" s="1" t="s">
        <v>3</v>
      </c>
      <c r="S9" s="1" t="s">
        <v>3</v>
      </c>
      <c r="T9" s="1" t="s">
        <v>3</v>
      </c>
      <c r="U9" s="1"/>
      <c r="V9" s="1"/>
      <c r="W9" s="11"/>
      <c r="Z9" s="68" t="s">
        <v>261</v>
      </c>
      <c r="AA9" s="34">
        <v>0.32050000000000001</v>
      </c>
      <c r="AB9" s="74">
        <v>1.64</v>
      </c>
      <c r="AC9" s="2"/>
      <c r="AD9" s="2"/>
      <c r="AE9" s="2"/>
      <c r="AF9" s="2"/>
      <c r="AG9" s="2"/>
      <c r="AH9" s="2" t="s">
        <v>3</v>
      </c>
      <c r="AI9" s="31"/>
    </row>
    <row r="10" spans="1:35" x14ac:dyDescent="0.3">
      <c r="B10" s="68" t="s">
        <v>260</v>
      </c>
      <c r="C10" s="34">
        <v>0.76729999999999998</v>
      </c>
      <c r="D10" s="74">
        <v>2.29</v>
      </c>
      <c r="E10" s="2"/>
      <c r="F10" s="2"/>
      <c r="G10" s="2"/>
      <c r="H10" s="2"/>
      <c r="I10" s="2"/>
      <c r="J10" s="2"/>
      <c r="K10" s="2" t="s">
        <v>3</v>
      </c>
      <c r="L10" s="31"/>
      <c r="O10" s="67" t="s">
        <v>256</v>
      </c>
      <c r="P10" s="71">
        <v>0.7873</v>
      </c>
      <c r="Q10" s="73">
        <v>3.45</v>
      </c>
      <c r="R10" s="1"/>
      <c r="S10" s="1"/>
      <c r="T10" s="1"/>
      <c r="U10" s="1" t="s">
        <v>3</v>
      </c>
      <c r="V10" s="1" t="s">
        <v>3</v>
      </c>
      <c r="W10" s="11" t="s">
        <v>3</v>
      </c>
      <c r="Z10" s="67" t="s">
        <v>259</v>
      </c>
      <c r="AA10" s="71">
        <v>0.47210000000000002</v>
      </c>
      <c r="AB10" s="73">
        <v>1.1100000000000001</v>
      </c>
      <c r="AC10" s="1" t="s">
        <v>3</v>
      </c>
      <c r="AD10" s="1" t="s">
        <v>3</v>
      </c>
      <c r="AE10" s="1" t="s">
        <v>3</v>
      </c>
      <c r="AF10" s="1" t="s">
        <v>3</v>
      </c>
      <c r="AG10" s="1"/>
      <c r="AH10" s="1"/>
      <c r="AI10" s="32"/>
    </row>
    <row r="11" spans="1:35" x14ac:dyDescent="0.3">
      <c r="B11" s="67" t="s">
        <v>259</v>
      </c>
      <c r="C11" s="71">
        <v>0.66959999999999997</v>
      </c>
      <c r="D11" s="73">
        <v>1.1599999999999999</v>
      </c>
      <c r="E11" s="1" t="s">
        <v>3</v>
      </c>
      <c r="F11" s="1" t="s">
        <v>3</v>
      </c>
      <c r="G11" s="1" t="s">
        <v>3</v>
      </c>
      <c r="H11" s="1"/>
      <c r="I11" s="1"/>
      <c r="J11" s="1"/>
      <c r="K11" s="1"/>
      <c r="L11" s="32"/>
      <c r="O11" s="67" t="s">
        <v>258</v>
      </c>
      <c r="P11" s="71">
        <v>0.3725</v>
      </c>
      <c r="Q11" s="73">
        <v>0.94</v>
      </c>
      <c r="R11" s="1" t="s">
        <v>3</v>
      </c>
      <c r="S11" s="1"/>
      <c r="T11" s="1"/>
      <c r="U11" s="1"/>
      <c r="V11" s="1"/>
      <c r="W11" s="11"/>
      <c r="Z11" s="67" t="s">
        <v>256</v>
      </c>
      <c r="AA11" s="71">
        <v>0.60240000000000005</v>
      </c>
      <c r="AB11" s="73">
        <v>3.72</v>
      </c>
      <c r="AC11" s="1"/>
      <c r="AD11" s="1"/>
      <c r="AE11" s="1"/>
      <c r="AF11" s="1" t="s">
        <v>3</v>
      </c>
      <c r="AG11" s="1" t="s">
        <v>3</v>
      </c>
      <c r="AH11" s="1" t="s">
        <v>3</v>
      </c>
      <c r="AI11" s="32" t="s">
        <v>3</v>
      </c>
    </row>
    <row r="12" spans="1:35" x14ac:dyDescent="0.3">
      <c r="B12" s="67" t="s">
        <v>257</v>
      </c>
      <c r="C12" s="71">
        <v>0.2092</v>
      </c>
      <c r="D12" s="73">
        <v>0.85</v>
      </c>
      <c r="E12" s="1"/>
      <c r="F12" s="1" t="s">
        <v>3</v>
      </c>
      <c r="G12" s="1" t="s">
        <v>3</v>
      </c>
      <c r="H12" s="1" t="s">
        <v>3</v>
      </c>
      <c r="I12" s="1" t="s">
        <v>3</v>
      </c>
      <c r="J12" s="1"/>
      <c r="K12" s="1"/>
      <c r="L12" s="32"/>
      <c r="O12" s="67" t="s">
        <v>252</v>
      </c>
      <c r="P12" s="71">
        <v>0.58840000000000003</v>
      </c>
      <c r="Q12" s="73">
        <v>2.74</v>
      </c>
      <c r="R12" s="1"/>
      <c r="S12" s="1" t="s">
        <v>3</v>
      </c>
      <c r="T12" s="1" t="s">
        <v>3</v>
      </c>
      <c r="U12" s="1"/>
      <c r="V12" s="1"/>
      <c r="W12" s="11"/>
      <c r="Z12" s="67" t="s">
        <v>252</v>
      </c>
      <c r="AA12" s="71">
        <v>0.13669999999999999</v>
      </c>
      <c r="AB12" s="73">
        <v>0.87</v>
      </c>
      <c r="AC12" s="1"/>
      <c r="AD12" s="1"/>
      <c r="AE12" s="1" t="s">
        <v>3</v>
      </c>
      <c r="AF12" s="1" t="s">
        <v>3</v>
      </c>
      <c r="AG12" s="1"/>
      <c r="AH12" s="1"/>
      <c r="AI12" s="32"/>
    </row>
    <row r="13" spans="1:35" ht="15" thickBot="1" x14ac:dyDescent="0.35">
      <c r="B13" s="67" t="s">
        <v>256</v>
      </c>
      <c r="C13" s="71">
        <v>0.70409999999999995</v>
      </c>
      <c r="D13" s="73">
        <v>1.77</v>
      </c>
      <c r="E13" s="1"/>
      <c r="F13" s="1"/>
      <c r="G13" s="1"/>
      <c r="H13" s="1"/>
      <c r="I13" s="1"/>
      <c r="J13" s="1"/>
      <c r="K13" s="1" t="s">
        <v>3</v>
      </c>
      <c r="L13" s="32" t="s">
        <v>3</v>
      </c>
      <c r="O13" s="143" t="s">
        <v>251</v>
      </c>
      <c r="P13" s="168">
        <v>0.61050000000000004</v>
      </c>
      <c r="Q13" s="145">
        <v>0.69</v>
      </c>
      <c r="R13" s="176" t="s">
        <v>3</v>
      </c>
      <c r="S13" s="176" t="s">
        <v>3</v>
      </c>
      <c r="T13" s="176"/>
      <c r="U13" s="176"/>
      <c r="V13" s="176"/>
      <c r="W13" s="177"/>
      <c r="Z13" s="143" t="s">
        <v>255</v>
      </c>
      <c r="AA13" s="168">
        <v>0.1348</v>
      </c>
      <c r="AB13" s="145">
        <v>0.81</v>
      </c>
      <c r="AC13" s="176" t="s">
        <v>3</v>
      </c>
      <c r="AD13" s="176" t="s">
        <v>3</v>
      </c>
      <c r="AE13" s="176" t="s">
        <v>3</v>
      </c>
      <c r="AF13" s="176"/>
      <c r="AG13" s="176"/>
      <c r="AH13" s="176"/>
      <c r="AI13" s="175"/>
    </row>
    <row r="14" spans="1:35" ht="15" thickBot="1" x14ac:dyDescent="0.35">
      <c r="B14" s="67" t="s">
        <v>254</v>
      </c>
      <c r="C14" s="71">
        <v>0.78490000000000004</v>
      </c>
      <c r="D14" s="73">
        <v>1.95</v>
      </c>
      <c r="E14" s="1" t="s">
        <v>3</v>
      </c>
      <c r="F14" s="1" t="s">
        <v>3</v>
      </c>
      <c r="G14" s="1"/>
      <c r="H14" s="1"/>
      <c r="I14" s="1"/>
      <c r="J14" s="1"/>
      <c r="K14" s="1"/>
      <c r="L14" s="32"/>
      <c r="O14" s="157" t="s">
        <v>32</v>
      </c>
      <c r="P14" s="156">
        <f>SUM(R14:W14)</f>
        <v>421</v>
      </c>
      <c r="Q14" s="155"/>
      <c r="R14" s="154">
        <v>49</v>
      </c>
      <c r="S14" s="153">
        <v>170</v>
      </c>
      <c r="T14" s="153">
        <v>57</v>
      </c>
      <c r="U14" s="153">
        <v>76</v>
      </c>
      <c r="V14" s="153">
        <v>45</v>
      </c>
      <c r="W14" s="152">
        <v>24</v>
      </c>
      <c r="Z14" s="157" t="s">
        <v>32</v>
      </c>
      <c r="AA14" s="156">
        <f>SUM(AC14:AI14)</f>
        <v>974</v>
      </c>
      <c r="AB14" s="155"/>
      <c r="AC14" s="154">
        <v>91</v>
      </c>
      <c r="AD14" s="153">
        <v>95</v>
      </c>
      <c r="AE14" s="153">
        <v>114</v>
      </c>
      <c r="AF14" s="153">
        <v>438</v>
      </c>
      <c r="AG14" s="153">
        <v>129</v>
      </c>
      <c r="AH14" s="153">
        <v>62</v>
      </c>
      <c r="AI14" s="172">
        <v>45</v>
      </c>
    </row>
    <row r="15" spans="1:35" x14ac:dyDescent="0.3">
      <c r="B15" s="67" t="s">
        <v>253</v>
      </c>
      <c r="C15" s="71">
        <v>0.68220000000000003</v>
      </c>
      <c r="D15" s="73">
        <v>2.68</v>
      </c>
      <c r="E15" s="1"/>
      <c r="F15" s="1"/>
      <c r="G15" s="1"/>
      <c r="H15" s="1"/>
      <c r="I15" s="1"/>
      <c r="J15" s="1" t="s">
        <v>3</v>
      </c>
      <c r="K15" s="1" t="s">
        <v>3</v>
      </c>
      <c r="L15" s="32" t="s">
        <v>3</v>
      </c>
      <c r="O15" s="67" t="s">
        <v>224</v>
      </c>
      <c r="P15" s="151"/>
      <c r="Q15" s="150"/>
      <c r="R15" s="149"/>
      <c r="S15" s="149"/>
      <c r="T15" s="149"/>
      <c r="U15" s="149"/>
      <c r="V15" s="149"/>
      <c r="W15" s="148"/>
      <c r="Z15" s="67" t="s">
        <v>224</v>
      </c>
      <c r="AA15" s="151"/>
      <c r="AB15" s="150"/>
      <c r="AC15" s="149"/>
      <c r="AD15" s="149"/>
      <c r="AE15" s="149"/>
      <c r="AF15" s="149"/>
      <c r="AG15" s="149"/>
      <c r="AH15" s="149"/>
      <c r="AI15" s="171"/>
    </row>
    <row r="16" spans="1:35" ht="15" thickBot="1" x14ac:dyDescent="0.35">
      <c r="B16" s="67" t="s">
        <v>252</v>
      </c>
      <c r="C16" s="71">
        <v>0.99109999999999998</v>
      </c>
      <c r="D16" s="73">
        <v>3.67</v>
      </c>
      <c r="E16" s="1"/>
      <c r="F16" s="1"/>
      <c r="G16" s="1" t="s">
        <v>3</v>
      </c>
      <c r="H16" s="1" t="s">
        <v>3</v>
      </c>
      <c r="I16" s="1"/>
      <c r="J16" s="1"/>
      <c r="K16" s="1"/>
      <c r="L16" s="32"/>
      <c r="O16" s="143" t="s">
        <v>223</v>
      </c>
      <c r="P16" s="147"/>
      <c r="Q16" s="146"/>
      <c r="R16" s="145">
        <v>11.92</v>
      </c>
      <c r="S16" s="145">
        <v>39.369999999999997</v>
      </c>
      <c r="T16" s="145">
        <v>13.68</v>
      </c>
      <c r="U16" s="145">
        <v>18.62</v>
      </c>
      <c r="V16" s="145">
        <v>11.24</v>
      </c>
      <c r="W16" s="144">
        <v>5.17</v>
      </c>
      <c r="Z16" s="143" t="s">
        <v>223</v>
      </c>
      <c r="AA16" s="147"/>
      <c r="AB16" s="146"/>
      <c r="AC16" s="145">
        <v>9.17</v>
      </c>
      <c r="AD16" s="145">
        <v>11.28</v>
      </c>
      <c r="AE16" s="145">
        <v>10.63</v>
      </c>
      <c r="AF16" s="145">
        <v>46.03</v>
      </c>
      <c r="AG16" s="145">
        <v>11.41</v>
      </c>
      <c r="AH16" s="145">
        <v>6.18</v>
      </c>
      <c r="AI16" s="170">
        <v>5.3</v>
      </c>
    </row>
    <row r="17" spans="2:35" ht="15" thickBot="1" x14ac:dyDescent="0.35">
      <c r="B17" s="143" t="s">
        <v>251</v>
      </c>
      <c r="C17" s="168">
        <v>0.69199999999999995</v>
      </c>
      <c r="D17" s="145">
        <v>2.34</v>
      </c>
      <c r="E17" s="176" t="s">
        <v>3</v>
      </c>
      <c r="F17" s="176" t="s">
        <v>3</v>
      </c>
      <c r="G17" s="176"/>
      <c r="H17" s="176"/>
      <c r="I17" s="176"/>
      <c r="J17" s="176"/>
      <c r="K17" s="176"/>
      <c r="L17" s="175"/>
      <c r="O17" s="143" t="s">
        <v>186</v>
      </c>
      <c r="P17" s="142">
        <v>0.129</v>
      </c>
      <c r="Q17" s="142"/>
      <c r="R17" s="142"/>
      <c r="S17" s="142"/>
      <c r="T17" s="142"/>
      <c r="U17" s="142"/>
      <c r="V17" s="142"/>
      <c r="W17" s="142"/>
      <c r="Z17" s="143" t="s">
        <v>186</v>
      </c>
      <c r="AA17" s="174">
        <v>0.161</v>
      </c>
      <c r="AB17" s="173"/>
      <c r="AC17" s="173"/>
      <c r="AD17" s="173"/>
      <c r="AE17" s="173"/>
      <c r="AF17" s="173"/>
      <c r="AG17" s="173"/>
      <c r="AH17" s="173"/>
      <c r="AI17" s="173"/>
    </row>
    <row r="18" spans="2:35" ht="15" thickBot="1" x14ac:dyDescent="0.35">
      <c r="B18" s="157" t="s">
        <v>32</v>
      </c>
      <c r="C18" s="156">
        <f>SUM(E18:L18)</f>
        <v>325</v>
      </c>
      <c r="D18" s="155"/>
      <c r="E18" s="154">
        <v>67</v>
      </c>
      <c r="F18" s="153">
        <v>38</v>
      </c>
      <c r="G18" s="153">
        <v>34</v>
      </c>
      <c r="H18" s="153">
        <v>50</v>
      </c>
      <c r="I18" s="153">
        <v>41</v>
      </c>
      <c r="J18" s="153">
        <v>54</v>
      </c>
      <c r="K18" s="153">
        <v>28</v>
      </c>
      <c r="L18" s="172">
        <v>13</v>
      </c>
    </row>
    <row r="19" spans="2:35" x14ac:dyDescent="0.3">
      <c r="B19" s="67" t="s">
        <v>224</v>
      </c>
      <c r="C19" s="151"/>
      <c r="D19" s="150"/>
      <c r="E19" s="149"/>
      <c r="F19" s="149"/>
      <c r="G19" s="149"/>
      <c r="H19" s="149"/>
      <c r="I19" s="149"/>
      <c r="J19" s="149"/>
      <c r="K19" s="149"/>
      <c r="L19" s="171"/>
    </row>
    <row r="20" spans="2:35" ht="15" thickBot="1" x14ac:dyDescent="0.35">
      <c r="B20" s="143" t="s">
        <v>223</v>
      </c>
      <c r="C20" s="147"/>
      <c r="D20" s="146"/>
      <c r="E20" s="145">
        <v>20.38</v>
      </c>
      <c r="F20" s="145">
        <v>10.97</v>
      </c>
      <c r="G20" s="145">
        <v>10.69</v>
      </c>
      <c r="H20" s="145">
        <v>14.39</v>
      </c>
      <c r="I20" s="145">
        <v>13.5</v>
      </c>
      <c r="J20" s="145">
        <v>18.57</v>
      </c>
      <c r="K20" s="145">
        <v>7.86</v>
      </c>
      <c r="L20" s="170">
        <v>3.64</v>
      </c>
    </row>
    <row r="21" spans="2:35" ht="15" thickBot="1" x14ac:dyDescent="0.35">
      <c r="B21" s="143" t="s">
        <v>186</v>
      </c>
      <c r="C21" s="142">
        <v>6.5000000000000002E-2</v>
      </c>
      <c r="D21" s="142"/>
      <c r="E21" s="142"/>
      <c r="F21" s="142"/>
      <c r="G21" s="142"/>
      <c r="H21" s="142"/>
      <c r="I21" s="142"/>
      <c r="J21" s="142"/>
      <c r="K21" s="142"/>
      <c r="L21" s="142"/>
    </row>
  </sheetData>
  <mergeCells count="21">
    <mergeCell ref="C21:L21"/>
    <mergeCell ref="C18:D18"/>
    <mergeCell ref="C19:D20"/>
    <mergeCell ref="AA2:AA3"/>
    <mergeCell ref="AB2:AB3"/>
    <mergeCell ref="AA14:AB14"/>
    <mergeCell ref="AA15:AB16"/>
    <mergeCell ref="B2:B3"/>
    <mergeCell ref="C2:C3"/>
    <mergeCell ref="D2:D3"/>
    <mergeCell ref="E2:L2"/>
    <mergeCell ref="AC2:AI2"/>
    <mergeCell ref="AA17:AI17"/>
    <mergeCell ref="O2:O3"/>
    <mergeCell ref="P2:P3"/>
    <mergeCell ref="Q2:Q3"/>
    <mergeCell ref="R2:W2"/>
    <mergeCell ref="P14:Q14"/>
    <mergeCell ref="P15:Q16"/>
    <mergeCell ref="P17:W17"/>
    <mergeCell ref="Z2:Z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Kids</vt:lpstr>
      <vt:lpstr>Marginals</vt:lpstr>
      <vt:lpstr>DC</vt:lpstr>
      <vt:lpstr>Rental Car</vt:lpstr>
      <vt:lpstr>WorkTourFreq</vt:lpstr>
      <vt:lpstr>RecTourFreq</vt:lpstr>
      <vt:lpstr>OtherTourFreq</vt:lpstr>
      <vt:lpstr>ShopTourFreq</vt:lpstr>
      <vt:lpstr>Work_DC</vt:lpstr>
      <vt:lpstr>Rec_DC</vt:lpstr>
      <vt:lpstr>Rec_DC_NewClassification</vt:lpstr>
      <vt:lpstr>Other_DC</vt:lpstr>
      <vt:lpstr>Shop_DC</vt:lpstr>
      <vt:lpstr>Work_MC</vt:lpstr>
      <vt:lpstr>Rec_MC</vt:lpstr>
      <vt:lpstr>Other_MC</vt:lpstr>
      <vt:lpstr>Shop_MC</vt:lpstr>
      <vt:lpstr>Work_TOD</vt:lpstr>
      <vt:lpstr>Rec_TOD</vt:lpstr>
      <vt:lpstr>Other_TOD</vt:lpstr>
      <vt:lpstr>Shop_TOD</vt:lpstr>
      <vt:lpstr>IS Frequency</vt:lpstr>
      <vt:lpstr>IS Purpose</vt:lpstr>
      <vt:lpstr>IS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 Balakrishna</dc:creator>
  <cp:lastModifiedBy>Ramachandran Balakrishna</cp:lastModifiedBy>
  <dcterms:created xsi:type="dcterms:W3CDTF">2021-11-10T03:29:11Z</dcterms:created>
  <dcterms:modified xsi:type="dcterms:W3CDTF">2025-09-18T19:13:51Z</dcterms:modified>
</cp:coreProperties>
</file>